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kamra\Downloads\ISMS_بنك_الآفاق_الرقمية\"/>
    </mc:Choice>
  </mc:AlternateContent>
  <xr:revisionPtr revIDLastSave="0" documentId="13_ncr:1_{276CA7E5-C224-4C40-BA93-A2854EFF2FD1}" xr6:coauthVersionLast="47" xr6:coauthVersionMax="47" xr10:uidLastSave="{00000000-0000-0000-0000-000000000000}"/>
  <bookViews>
    <workbookView xWindow="-108" yWindow="-108" windowWidth="23256" windowHeight="13176" tabRatio="915" xr2:uid="{00000000-000D-0000-FFFF-FFFF00000000}"/>
  </bookViews>
  <sheets>
    <sheet name="Guidance" sheetId="3" r:id="rId1"/>
    <sheet name="Version" sheetId="22" r:id="rId2"/>
    <sheet name="ISO27001 Annex A Applicability" sheetId="21" r:id="rId3"/>
    <sheet name="ISO27001 Annex A Dashboard" sheetId="50" r:id="rId4"/>
    <sheet name="ISO27001 Applicability Table" sheetId="41" state="hidden" r:id="rId5"/>
    <sheet name="ISO27001 Results Chart" sheetId="51" state="hidden" r:id="rId6"/>
    <sheet name="ISO27001 % Results Chart" sheetId="53" state="hidden" r:id="rId7"/>
    <sheet name="ISO27001 % Radar Chart" sheetId="54" state="hidden" r:id="rId8"/>
  </sheets>
  <definedNames>
    <definedName name="_xlnm.Print_Area" localSheetId="0">Guidance!$B$2:$B$26</definedName>
    <definedName name="_xlnm.Print_Titles" localSheetId="2">'ISO27001 Annex A Applicability'!$12:$12</definedName>
  </definedNames>
  <calcPr calcId="191029"/>
  <pivotCaches>
    <pivotCache cacheId="5"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1" i="21" l="1"/>
  <c r="F17" i="50" s="1"/>
  <c r="D121" i="21"/>
  <c r="D10" i="41" s="1"/>
  <c r="E83" i="21"/>
  <c r="F9" i="41" s="1"/>
  <c r="D83" i="21"/>
  <c r="D16" i="50" s="1"/>
  <c r="E65" i="21"/>
  <c r="F15" i="50" s="1"/>
  <c r="D65" i="21"/>
  <c r="D8" i="41" s="1"/>
  <c r="E53" i="21"/>
  <c r="F7" i="41" s="1"/>
  <c r="D53" i="21"/>
  <c r="D14" i="50" s="1"/>
  <c r="E8" i="41" l="1"/>
  <c r="E14" i="50"/>
  <c r="G14" i="50"/>
  <c r="E16" i="50"/>
  <c r="G16" i="50"/>
  <c r="E10" i="41"/>
  <c r="F14" i="50"/>
  <c r="F16" i="50"/>
  <c r="F8" i="41"/>
  <c r="F10" i="41"/>
  <c r="G10" i="41" s="1"/>
  <c r="D15" i="50"/>
  <c r="D17" i="50"/>
  <c r="D7" i="41"/>
  <c r="D9" i="41"/>
  <c r="G15" i="50" l="1"/>
  <c r="E15" i="50"/>
  <c r="G8" i="41"/>
  <c r="G17" i="50"/>
  <c r="E17" i="50"/>
  <c r="G9" i="41"/>
  <c r="E9" i="41"/>
  <c r="G7" i="41"/>
  <c r="E7" i="41"/>
  <c r="F11" i="41"/>
  <c r="C18" i="50"/>
  <c r="G11" i="41"/>
  <c r="D18" i="50"/>
  <c r="E18" i="50"/>
  <c r="D11" i="41"/>
  <c r="C11" i="41"/>
  <c r="E11" i="41"/>
  <c r="F18" i="50"/>
  <c r="G18" i="50"/>
</calcChain>
</file>

<file path=xl/sharedStrings.xml><?xml version="1.0" encoding="utf-8"?>
<sst xmlns="http://schemas.openxmlformats.org/spreadsheetml/2006/main" count="558" uniqueCount="329">
  <si>
    <t>إرشادات التنفيذ
هذه الورقة إرشادية داخلية لإدارة أمن المعلومات في بنك الآفاق الرقمية، وتُقرأ قبل تعبئة بيان قابلية التطبيق، وتُستبعد من النسخة التي تُرفع لجهة الاعتماد.</t>
  </si>
  <si>
    <t>التصميم
صُمم هذا المصنف وفق الهوية البصرية المعتمدة لوثائق نظام إدارة أمن المعلومات (ISMS) في البنك. لتغيير نظام الألوان انتقل إلى شريط «تخطيط الصفحة» ثم «السمات» (Themes) واختر نمطاً آخر، مع الالتزام بألوان تصنيف المعلومات المعتمدة في سياسة تصنيف البيانات.</t>
  </si>
  <si>
    <t>الغرض من هذه الوثيقة
تحدد هذه الوثيقة (بيان قابلية التطبيق - SoA) أي ضوابط الملحق A من معيار ISO/IEC 27001:2022 أُدرجت أو استُبعدت، مع مبرر كل قرار، وحالة تنفيذ كل ضابط، والمسؤول عنها، والمخاطر والوثائق المرتبطة بها. أُعدّت استناداً إلى نطاق نظام ISMS ونتائج تقييم مخاطر الأصول (32 خطراً) والمتطلبات النظامية (ساما، سدايا، الهيئة الوطنية للأمن السيبراني، PCI DSS، ومتطلبات البنوك المراسلة).</t>
  </si>
  <si>
    <t>بنود المعيار التي تغطيها الوثيقة
6 التخطيط (Planning)
6.1 الإجراءات لمعالجة المخاطر والفرص
6.1.3 معالجة مخاطر أمن المعلومات - الفقرة د) (تحديد الضوابط اللازمة لتغطية المعالجة وتبرير إدراجها أو استبعادها)
كما تدعم الوثيقة البند 7.5 (المعلومات الموثقة) والبند 9.2 (التدقيق الداخلي) والبند 9.3 (مراجعة الإدارة).</t>
  </si>
  <si>
    <t>إرشادات عامة
بيان قابلية التطبيق متطلب إلزامي في ISO/IEC 27001:2022 (البند 6.1.3 د)، وهو في الوقت نفسه ملخص عملي لحالة تنفيذ النظام يُستخدم في التدقيق الداخلي (2026-08-16 إلى 2026-08-27، تقرير 2026-09-01) وفي تدقيق الاعتماد الخارجي.
القواعد المعتمدة في هذه النسخة:
• جميع ضوابط الملحق A (93 ضابطاً) قابلة للتطبيق على نطاق البنك؛ لا يُستبعد أي ضابط إلا بمبرر موثق ومعتمد من لجنة أمن المعلومات.
• عمود «هل الضابط منفذ؟» يُملأ بـ«نعم» فقط عندما يكون الضابط مطبقاً بالكامل؛ أما الحالات الأخرى (مطبق جزئياً، قيد التنفيذ، مخطط له، غير مطبق) فتُسجَّل تفصيلياً في عمود الملاحظات مع المسؤول والخطة التصحيحية والتاريخ المستهدف.
• المخاطر المرتبطة (R-xxx) تُطابق سجل المخاطر الإصدار 1.0 المعتمد في 2026-03-26، والوثائق المرتبطة تُطابق سجل وثائق ISMS.
• النسب والأعداد في لوحة المعلومات تُحسب تلقائياً؛ ولتحديثها اضغط «تحديث الكل» (Refresh All) من شريط البيانات أو أعد الحساب بـ Ctrl+Alt+F9.
النتيجة الحالية: 33 ضابطاً مطبقاً بالكامل من أصل 93 (35.5%)، وهي مطابقة لما ورد في تقرير أداء ISMS (2026-09-07) ومحضر مراجعة الإدارة (2026-09-10).</t>
  </si>
  <si>
    <t>وتيرة المراجعة
يُراجع بيان قابلية التطبيق بالتزامن مع كل دورة تقييم مخاطر، وبحد أدنى مرة واحدة سنوياً. الإصدار 1.0 صدر في 2026-04-06 بعد اعتماد خطة معالجة المخاطر في 2026-04-02، والمراجعة الدورية التالية في 2027-03-01. وتُحدَّث الوثيقة فوراً عند أي تغيير جوهري في النطاق أو في نتائج تقييم المخاطر أو في المتطلبات النظامية، أو عند إضافة/إلغاء خدمة مصرفية أو مورد حرج.</t>
  </si>
  <si>
    <t>رقم إصدار الحزمة
حزمة وثائق نظام إدارة أمن المعلومات - بنك الآفاق الرقمية، الإصدار 1.0 (2026)، مبنية على ISO/IEC 27001:2022 ومتوافقة مع ضوابط الهيئة الوطنية للأمن السيبراني ومتطلبات ساما لأمن المعلومات في القطاع المالي.</t>
  </si>
  <si>
    <t>إشعار الملكية
هذه الوثيقة ملك لبنك الآفاق الرقمية - إدارة أمن المعلومات، ومعدّة للاستخدام الداخلي ولأغراض التدقيق والاعتماد. التصنيف: سري. يُمنع نسخها أو توزيعها أو الإفصاح عنها خارج البنك دون موافقة خطية مسبقة من مدير إدارة أمن المعلومات.</t>
  </si>
  <si>
    <t>شروط الاستخدام
تُستخدم هذه الوثيقة ضمن نطاق نظام إدارة أمن المعلومات المعتمد فقط، ولا تُعدَّل إلا عبر الإجراء الرسمي لضبط المعلومات الموثقة (ISMS-DOC-05-4) مع تسجيل رقم الإصدار وتاريخه واسم المعتمد في ورقة «الإصدار». أي تعديل خارج هذا الإجراء يُعد نسخة غير خاضعة للتحكم ولا يُعتدّ بها في التدقيق.</t>
  </si>
  <si>
    <t>إخلاء مسؤولية
أُعدت هذه الوثيقة استناداً إلى نطاق بنك الآفاق الرقمية المعتمد، وسجل المخاطر الإصدار 1.0 (2026-03-26)، ونتائج تقييم الفجوات، وخطة معالجة المخاطر المعتمدة في 2026-04-02. وهي تعكس حالة الضوابط كما في تاريخ الإصدار ولا تُغني عن التحقق الميداني ومراجعة الأدلة التشغيلية؛ وأي قرار إداري أو استثماري يُبنى عليها يجب أن يستند إلى الأدلة الموثقة في سجل الأدلة المرتبط بكل ضابط.</t>
  </si>
  <si>
    <t>معلومات الإصدار</t>
  </si>
  <si>
    <t xml:space="preserve">تصنيف المعلومات
</t>
  </si>
  <si>
    <t>سري</t>
  </si>
  <si>
    <t xml:space="preserve">الإصدار
</t>
  </si>
  <si>
    <t>1.0</t>
  </si>
  <si>
    <t xml:space="preserve">التاريخ
</t>
  </si>
  <si>
    <t>2026-04-06</t>
  </si>
  <si>
    <t xml:space="preserve">الاعتماد
</t>
  </si>
  <si>
    <t>إعداد: مدير إدارة أمن المعلومات - مراجعة: لجنة أمن المعلومات - اعتماد: الرئيس التنفيذي (2026-04-06)</t>
  </si>
  <si>
    <t>المصطلحات المستخدمة</t>
  </si>
  <si>
    <t>نظم إدارة أمن المعلومات - المتطلبات (ISO/IEC 27001:2022)</t>
  </si>
  <si>
    <t>ISMS: نظام إدارة أمن المعلومات | SoA: بيان قابلية التطبيق
مطبق بالكامل: الضابط مطبق وموثق وتوجد أدلة تشغيلية على فعاليته
مطبق جزئياً: الضابط مطبق على بعض النطاقات أو بعض عناصره فقط، مع خطة لاستكماله
قيد التنفيذ: بدأ تنفيذ الضابط فعلياً ولم يكتمل بعد ضمن مشروع محدد
مخطط له: الضابط معتمد ضمن الخطة بميزانية وتاريخ مستهدف ولم يبدأ تنفيذه
غير مطبق: الضابط مطلوب ولم يُنفَّذ (فجوة أو عدم مطابقة مسجلة في تقرير التدقيق)</t>
  </si>
  <si>
    <t>ملاحظة: المعروض هنا ضوابط الملحق A (Annex A) من معيار ISO/IEC 27001:2022 فقط، وعددها 93 ضابطاً موزعة على أربعة مجالات. بيان قابلية التطبيق - بنك الآفاق الرقمية - الإصدار 1.0 بتاريخ 2026-04-06.</t>
  </si>
  <si>
    <t>المجال/القسم</t>
  </si>
  <si>
    <t>الضابط</t>
  </si>
  <si>
    <t>هل الضابط قابل للتطبيق؟</t>
  </si>
  <si>
    <t>هل الضابط منفذ؟</t>
  </si>
  <si>
    <t>مبرر الإدراج أو الاستبعاد</t>
  </si>
  <si>
    <t>الملاحظات (حالة التنفيذ، المسؤول، المخاطر والوثائق المرتبطة)</t>
  </si>
  <si>
    <t>A.5 الضوابط التنظيمية</t>
  </si>
  <si>
    <t>A.5.1 سياسات أمن المعلومات</t>
  </si>
  <si>
    <t>نعم</t>
  </si>
  <si>
    <t>متطلب إلزامي في البند 5.2 ولضوابط ساما؛ سياسة أمن المعلومات هي الأساس الذي تُبنى عليه بقية وثائق النظام ولها ارتباط بجميع المخاطر.</t>
  </si>
  <si>
    <t>حالة التنفيذ: مطبق بالكامل. المسؤول: مدير إدارة أمن المعلومات. المخاطر المرتبطة: الجميع. الوثائق المرتبطة: ISMS-DOC-05-4. أُعيد إصدار سياسة أمن المعلومات بالإصدار 2.0 واعتمدها مجلس الإدارة في 2026-02-15، ونُشرت على جميع الموظفين مع إقرار إلكتروني، وتُراجع سنوياً أو عند أي تغيير جوهري.</t>
  </si>
  <si>
    <t>A.5.2 أدوار ومسؤوليات أمن المعلومات</t>
  </si>
  <si>
    <t>هيكل البنك يتضمن إدارة أمن معلومات مستقلة وفرقاً متخصصة (SOC، الاستجابة للحوادث، الحوكمة، تقييم المخاطر)؛ يلزم توثيق الأدوار لمنع التضارب ومعالجة خطر ضعف المعرفة المؤسسية R-030.</t>
  </si>
  <si>
    <t>حالة التنفيذ: مطبق بالكامل. المسؤول: مدير إدارة أمن المعلومات. المخاطر المرتبطة: R-030، R-016. الوثائق المرتبطة: ISMS-DOC-05-4. وُثّقت الأدوار في سياسة أمن المعلومات (البند 4) ومصفوفة RACI المعتمدة، وتشمل CISO وCIO وملاك الأصول وملاك المخاطر وفرق SOC وCSIRT، وأُبلغت لجميع الإدارات.</t>
  </si>
  <si>
    <t>A.5.3 فصل المهام</t>
  </si>
  <si>
    <t>لا</t>
  </si>
  <si>
    <t>بيئة مصرفية حساسة تتطلب فصل مهام تطوير الأنظمة عن تشغيلها وفصل طلب التحويل عن اعتماده؛ مرتبط بالحادثة INC-2025-003 (تحويل احتيالي) وR-016.</t>
  </si>
  <si>
    <t>حالة التنفيذ: مطبق جزئياً. المسؤول: مدير إدارة تقنية المعلومات. المخاطر المرتبطة: R-016، R-005، R-022. الوثائق المرتبطة: ISMS-DOC-05-4، M8. مطبق في العمليات المالية (فصل طالب التحويل عن المعتمد) وفي GitLab (فصل المطور عن المعتمد للنشر)، لكنه غير مطبق بالكامل على الحسابات الإدارية التي تجمع بين التشغيل والتعديل بسبب غياب PAM (R-005). (لم يُحتسب ضمن الضوابط المنفذة في لوحة المعلومات حتى اكتمال التنفيذ وتحقق التدقيق الداخلي من الأدلة)</t>
  </si>
  <si>
    <t>A.5.4 مسؤوليات الإدارة</t>
  </si>
  <si>
    <t>دراسة الحالة تشير إلى تحدٍ ثقافي لدى بعض الموظفين القدامى تجاه إجراءات الأمن؛ التزام الإدارة العليا شرط لنجاح التغيير الثقافي (البند 5.1).</t>
  </si>
  <si>
    <t>حالة التنفيذ: مطبق بالكامل. المسؤول: الرئيس التنفيذي. المخاطر المرتبطة: R-030. الوثائق المرتبطة: ISMS-DOC-05-4، ISMS-PERF-09-1. الرئيس التنفيذي ترأس إطلاق مشروع ISMS في 2026-01-05، وأصدر مجلس الإدارة قراراً بإلزام جميع الإدارات بتطبيق السياسات، وتُرفع تقارير الأداء ربع السنوية للإدارة التنفيذية.</t>
  </si>
  <si>
    <t>A.5.5 التواصل مع السلطات</t>
  </si>
  <si>
    <t>البنك خاضع لإشراف ساما وسدايا والهيئة الوطنية للأمن السيبراني، ويلزمه الإبلاغ عن الحوادث الكبيرة؛ مرتبط بـR-018 وR-019.</t>
  </si>
  <si>
    <t>حالة التنفيذ: مطبق بالكامل. المسؤول: مدير إدارة الالتزام والحوكمة. المخاطر المرتبطة: R-018، R-019. الوثائق المرتبطة: ISMS-DOC-A05-26-1، ISMS-DOC-04-1. حُدّدت نقاط الاتصال مع ساما (إدارة الالتزام) وسدايا (الشؤون القانونية) والجهات الأمنية، وأُعدّت قائمة اتصال محدثة ضمن إجراء الاستجابة للحوادث تشمل الإبلاغ خلال المدد النظامية.</t>
  </si>
  <si>
    <t>A.5.6 التواصل مع مجموعات الاهتمام الخاص</t>
  </si>
  <si>
    <t>تزايد التهديدات على القطاع المصرفي يستوجب التواصل مع منتديات متخصصة ومصادر تنبيهات؛ يدعم معالجة ضعف منهجية معلومات التهديدات (فجوة G-06) وR-024.</t>
  </si>
  <si>
    <t>حالة التنفيذ: مطبق جزئياً. المسؤول: فريق العمليات الأمنية (SOC). المخاطر المرتبطة: R-024، R-001. الوثائق المرتبطة: M8. البنك مشترك في تنبيهات الهيئة الوطنية للأمن السيبراني وتجمّع الأمن السيبراني للقطاع المالي، لكن عضوية الفرق المتخصصة (FIRST/FS-ISAC) ما زالت قيد الإنجاز ضمن مشروع SIEM. (لم يُحتسب ضمن الضوابط المنفذة في لوحة المعلومات حتى اكتمال التنفيذ وتحقق التدقيق الداخلي من الأدلة)</t>
  </si>
  <si>
    <t>A.5.7 معلومات التهديدات (Threat Intelligence)</t>
  </si>
  <si>
    <t>دراسة الحالة تنص صراحة على أن جمع وتحليل معلومات التهديدات غير منهجي (فجوة G-06) رغم استهداف القطاع المصرفي بهجمات الفدية والتصيد وDDoS وسلسلة التوريد.</t>
  </si>
  <si>
    <t>حالة التنفيذ: قيد التنفيذ. المسؤول: فريق العمليات الأمنية (SOC). المخاطر المرتبطة: R-001، R-002، R-010، R-024. الوثائق المرتبطة: M8، ISMS-FORM-06-1. بدأ الاشتراك في مصادر تنبيهات محلية ودورية وإسناد التحليل لفريق SOC في 2026-06، وسيُدمج تغذية معلومات التهديدات آلياً مع تشغيل SIEM (المستهدف 2027-03-31). (لم يُحتسب ضمن الضوابط المنفذة في لوحة المعلومات حتى اكتمال التنفيذ وتحقق التدقيق الداخلي من الأدلة)</t>
  </si>
  <si>
    <t>A.5.8 أمن المعلومات في إدارة المشاريع</t>
  </si>
  <si>
    <t>البنك ينفذ مشاريع تقنية مستمرة (استبدال نظام الرواتب، SIEM، PAM) و25 مطوراً؛ حادثة INC-2026-009 نتجت عن مشروع تكامل لم تُغلق صلاحياته.</t>
  </si>
  <si>
    <t>حالة التنفيذ: مطبق جزئياً. المسؤول: مدير إدارة تقنية المعلومات. المخاطر المرتبطة: R-006، R-029، R-017. الوثائق المرتبطة: ISMS-DOC-05-4، M8. أُضيفت بوابة أمن معلومات (Security Gate) في منهجية إدارة المشاريع على Microsoft Project Server، وأُدرج بند إغلاق الصلاحيات في قائمة إنجاز إغلاق المشاريع؛ التطبيق على المشاريع القائمة ما زال جزئياً. (لم يُحتسب ضمن الضوابط المنفذة في لوحة المعلومات حتى اكتمال التنفيذ وتحقق التدقيق الداخلي من الأدلة)</t>
  </si>
  <si>
    <t>A.5.9 جرد المعلومات والأصول المرتبطة بها</t>
  </si>
  <si>
    <t>متطلب إلزامي لتقييم المخاطر القائم على الأصول (البند 6.1.2) ولتحديد الملاك؛ البنك يملك 48 أصلاً معلوماتياً وتقنياً موزعة على 12 مجموعة.</t>
  </si>
  <si>
    <t>حالة التنفيذ: مطبق بالكامل. المسؤول: مدير إدارة تقنية المعلومات. المخاطر المرتبطة: الجميع. الوثائق المرتبطة: ISMS-DOC-A05-9-2. أُعدّ جرد أصول المعلومات (48 أصلاً) في 2026-03-01 مع مالك وتصنيف وأهمية وحساسية لكل أصل، ويُراجع ربع سنوياً ويُحدَّث عند أي تغيير جوهري.</t>
  </si>
  <si>
    <t>A.5.10 الاستخدام المقبول للمعلومات والأصول</t>
  </si>
  <si>
    <t>2,500 موظف يستخدمون أجهزة البنك وأنظمته، ووقعت حوادث إساءة استخدام (تخزين بيانات عملاء محلياً، استخدام تطبيقات مراسلة غير معتمدة) R-007 وR-027.</t>
  </si>
  <si>
    <t>حالة التنفيذ: مطبق بالكامل. المسؤول: مدير إدارة أمن المعلومات. المخاطر المرتبطة: R-007، R-027، R-015. الوثائق المرتبطة: ISMS-DOC-A05-10-1. أُصدرت سياسة الاستخدام المقبول في 2026-02-22 ووقعها جميع الموظفين إلكترونياً، وتغطي الأجهزة والحسابات وكلمات المرور والبريد والإنترنت والأجهزة المحمولة وUSB والعمل عن بُعد.</t>
  </si>
  <si>
    <t>A.5.11 إعادة الأصول</t>
  </si>
  <si>
    <t>معدل دوران الموظفين 12% سنوياً في تقنية المعلومات، وحادثة INC-2025-011 أظهرت خطورة بقاء الأصول والبيانات خارج السيطرة.</t>
  </si>
  <si>
    <t>حالة التنفيذ: مطبق بالكامل. المسؤول: مدير إدارة الموارد البشرية. المخاطر المرتبطة: R-016، R-030، R-007. الوثائق المرتبطة: ISMS-DOC-A05-10-1، M8. إجراء إنهاء الخدمة معتمد لدى الموارد البشرية ويتضمن نموذج تسليم أصول (أجهزة، بطاقات دخول، حسابات) وإقراراً بالإعادة خلال آخر يوم عمل، مع سحب الصلاحيات خلال 4 ساعات.</t>
  </si>
  <si>
    <t>A.5.12 تصنيف المعلومات</t>
  </si>
  <si>
    <t>البنك يعالج بيانات عملاء شخصية ومالية شديدة الحساسية وبيانات حيوية؛ التصنيف شرط لتطبيق ضوابط متناسبة وللامتثال لنظام حماية البيانات الشخصية.</t>
  </si>
  <si>
    <t>حالة التنفيذ: مطبق بالكامل. المسؤول: مدير إدارة أمن المعلومات. المخاطر المرتبطة: R-019، R-025، R-015. الوثائق المرتبطة: ISMS-DOC-A05-9-2، ISMS-DOC-05-4. اعتُمد مخطط تصنيف رباعي (سري للغاية، سري، داخلي، عام) وطُبّق على جميع الأصول الـ48 في جرد الأصول، مع معايير تصنيف لكل مستوى وإجراءات معالجة مقابلة.</t>
  </si>
  <si>
    <t>A.5.13 وضع العلامات على المعلومات</t>
  </si>
  <si>
    <t>تداول الوثائق بين الإدارات والموردين والجهات الرقابية يتطلب علامات تصنيف واضحة لمنع الإفصاح غير المقصود (مرتبط بـR-013 وR-023).</t>
  </si>
  <si>
    <t>حالة التنفيذ: مطبق جزئياً. المسؤول: فريق حوكمة أمن المعلومات. المخاطر المرتبطة: R-013، R-023. الوثائق المرتبطة: ISMS-DOC-A05-10-1. طُبّقت العلامات على وثائق ISMS والتقارير الحساسة (رأس/تذييل يوضح التصنيف) وعلى مكتبة SharePoint، لكن تطبيقها على المخرجات اليومية (عروض تقديمية، تقارير Excel) ما زال جزئياً ويُستكمل ضمن حملة التوعية. (لم يُحتسب ضمن الضوابط المنفذة في لوحة المعلومات حتى اكتمال التنفيذ وتحقق التدقيق الداخلي من الأدلة)</t>
  </si>
  <si>
    <t>A.5.14 نقل المعلومات</t>
  </si>
  <si>
    <t>البنك ينقل بيانات يومياً مع ساما وشبكة المدفوعات الوطنية والبنوك المراسلة والموردين، وينقل أشرطة نسخ احتياطي بين الرياض وجدة (R-031).</t>
  </si>
  <si>
    <t>حالة التنفيذ: مطبق بالكامل. المسؤول: مدير قسم البنية التحتية والشبكات. المخاطر المرتبطة: R-031، R-019، R-013. الوثائق المرتبطة: ISMS-DOC-A05-10-1، M8. جميع عمليات النقل الخارجية مشفرة (TLS 1.2+) وموثقة باتفاقيات نقل، ونقل الوسائط المادية يتم عبر شركة خدمات معتمدة بصناديق مؤمنة وسجل حركة، وبريد الموظفين يمر عبر بوابة آمنة.</t>
  </si>
  <si>
    <t>A.5.15 التحكم في الوصول</t>
  </si>
  <si>
    <t>الوصول المنطقي والمادي لأنظمة البنك الحرجة جوهر حماية بيانات 500,000 عميل؛ مرتبط بـR-005 وR-006 وR-016 وR-023.</t>
  </si>
  <si>
    <t>حالة التنفيذ: مطبق جزئياً. المسؤول: مدير قسم البنية التحتية والشبكات. المخاطر المرتبطة: R-006، R-016، R-005. الوثائق المرتبطة: ISMS-DOC-05-4، M8. سياسة تحكم في الوصول معتمدة تعتمد RBAC عبر Active Directory، لكن مراجعة حقوق الوصول غير منتظمة (حادثة INC-2026-009) ويجري استكمال المراجعة الربع سنوية (UAR) وتطبيق الحد الأدنى من الصلاحيات. (لم يُحتسب ضمن الضوابط المنفذة في لوحة المعلومات حتى اكتمال التنفيذ وتحقق التدقيق الداخلي من الأدلة)</t>
  </si>
  <si>
    <t>A.5.16 إدارة الهوية</t>
  </si>
  <si>
    <t>2,500 موظف وموردون خارجيون لديهم هويات على بيئة البنك؛ دورة حياة الهوية (إنشاء، تعديل، إنهاء) ضرورية لمنع الحسابات اليتيمة.</t>
  </si>
  <si>
    <t>حالة التنفيذ: مطبق جزئياً. المسؤول: مدير قسم البنية التحتية والشبكات. المخاطر المرتبطة: R-006، R-016، R-013. الوثائق المرتبطة: M8. إدارة الهويات مركزية عبر Active Directory مرتبطة بإجراءات التوظيف وإنهاء الخدمة، لكن لا يوجد حالياً ربط آلي كامل (Provisioning/De-provisioning) مع نظام الموارد البشرية، وحسابات الموردين تُراجع يدوياً. (لم يُحتسب ضمن الضوابط المنفذة في لوحة المعلومات حتى اكتمال التنفيذ وتحقق التدقيق الداخلي من الأدلة)</t>
  </si>
  <si>
    <t>A.5.17 معلومات المصادقة</t>
  </si>
  <si>
    <t>مشاركة كلمات مرور المسؤولين يدوياً (فجوة G-03) من أخطر نقاط الضعف؛ وهجمات التصيد تستهدف سرقة بيانات الاعتماد (R-002).</t>
  </si>
  <si>
    <t>حالة التنفيذ: مطبق جزئياً. المسؤول: مدير إدارة أمن المعلومات. المخاطر المرتبطة: R-005، R-002، R-016. الوثائق المرتبطة: ISMS-DOC-A05-10-1، R9. توجد سياسة كلمات مرور (12 حرفاً، تعقيد، تغيير كل 90 يوماً) وMFA عبر RSA SecurID للأنظمة الحساسة، لكن إدارة كلمات المرور المميّزة ما زالت يدوية ويجري تنفيذ PAM والتوسع في MFA المقاوم للتصيد. (لم يُحتسب ضمن الضوابط المنفذة في لوحة المعلومات حتى اكتمال التنفيذ وتحقق التدقيق الداخلي من الأدلة)</t>
  </si>
  <si>
    <t>A.5.18 حقوق الوصول</t>
  </si>
  <si>
    <t>حادثة INC-2026-009 (صلاحيات موروثة منذ سنتين) تؤكد الحاجة إلى منح ومراجعة وسحب دوري لحقوق الوصول؛ مرتبط بـR-006 وR-005 وR-016.</t>
  </si>
  <si>
    <t>حالة التنفيذ: مطبق جزئياً. المسؤول: مدير قسم البنية التحتية والشبكات. المخاطر المرتبطة: R-006، R-005، R-016. الوثائق المرتبطة: M8، ISMS-DOC-09-5. المنح يتم بطلب معتمد من مالك الأصل عبر Jira، وبدأت المراجعة الربع سنوية في 2026-06، لكن السحب الآلي عند تغيير الدور أو إنهاء المشروع غير مؤتمت بالكامل بعد. (لم يُحتسب ضمن الضوابط المنفذة في لوحة المعلومات حتى اكتمال التنفيذ وتحقق التدقيق الداخلي من الأدلة)</t>
  </si>
  <si>
    <t>A.5.19 أمن المعلومات في علاقات الموردين</t>
  </si>
  <si>
    <t>البنك يعتمد على موردين حرجين (STC، AWS، مطور التطبيقات، صيانة الصرافات، استشاري الثغرات، خدمات النقد)؛ مخاطر سلسلة التوريد R-013 وR-028 وR-021.</t>
  </si>
  <si>
    <t>حالة التنفيذ: مطبق جزئياً. المسؤول: إدارة المشتريات والعقود. المخاطر المرتبطة: R-013، R-028، R-021. الوثائق المرتبطة: ISMS-DOC-04-1، M8. توجد اتفاقيات سرية وعقود مع الموردين، وأُنشئ سجل موردين مبدئي، لكن التقييم الأمني قبل التعاقد ومصفوفة تصنيف الموردين ما زالت قيد التنفيذ (مستهدف 2027-01-31). (لم يُحتسب ضمن الضوابط المنفذة في لوحة المعلومات حتى اكتمال التنفيذ وتحقق التدقيق الداخلي من الأدلة)</t>
  </si>
  <si>
    <t>A.5.20 معالجة أمن المعلومات ضمن اتفاقيات الموردين</t>
  </si>
  <si>
    <t>عقود الموردين الحالية لا تتضمن متطلبات أمنية مفصلة وحق تدقيق وإلزام بالإبلاغ عن الحوادث؛ مرتبط بـR-013 وR-028 وR-020.</t>
  </si>
  <si>
    <t>حالة التنفيذ: قيد التنفيذ. المسؤول: إدارة المشتريات والعقود. المخاطر المرتبطة: R-013، R-028، R-020. الوثائق المرتبطة: M8. أُعِدّ ملحق أمني تعاقدي نموذجي (متطلبات، إبلاغ خلال 24 ساعة، حق تدقيق، مستويات خدمة) وبدأ إدراجه في العقود الجديدة والتجديدات؛ العقود القائمة تُحدَّث تدريجياً حتى 2026-11-30. (لم يُحتسب ضمن الضوابط المنفذة في لوحة المعلومات حتى اكتمال التنفيذ وتحقق التدقيق الداخلي من الأدلة)</t>
  </si>
  <si>
    <t>A.5.21 إدارة أمن المعلومات في سلسلة توريد تقنية المعلومات</t>
  </si>
  <si>
    <t>منتجات الموردين التقنيين (مكافحة الفيروسات، أجهزة الشبكة، منصة الثغرات) قد تكون قناة اختراق؛ مرتبط بـR-028 وR-020.</t>
  </si>
  <si>
    <t>حالة التنفيذ: مطبق جزئياً. المسؤول: مدير إدارة أمن المعلومات. المخاطر المرتبطة: R-028، R-020. الوثائق المرتبطة: M8. تُشترى المنتجات من موردين معتمدين عبر قنوات رسمية مع التحقق من الترخيص، لكن فحص سلامة التحديثات والتحقق من التوقيعات الرقمية قبل التوزيع غير مطبق بشكل منهجي بعد. (لم يُحتسب ضمن الضوابط المنفذة في لوحة المعلومات حتى اكتمال التنفيذ وتحقق التدقيق الداخلي من الأدلة)</t>
  </si>
  <si>
    <t>A.5.22 مراقبة ومراجعة وإدارة تغييرات خدمات الموردين</t>
  </si>
  <si>
    <t>اعتماد البنك على خدمات حرجة من أطراف ثالثة (اتصالات، سحابة، صيانة صرافات) يستوجب مراقبة الأداء والأثر الأمني؛ مرتبط بـR-021 وR-014 وR-044.</t>
  </si>
  <si>
    <t>حالة التنفيذ: مطبق جزئياً. المسؤول: إدارة المشتريات والعقود. المخاطر المرتبطة: R-021، R-014، R-013. الوثائق المرتبطة: M8. تُراجع اتفاقيات مستوى الخدمة (SLA) ربع سنوياً مع STC ومزود الصرافات، وتُقيَّم تقارير الحوادث المقدمة منهم، لكن لا توجد مراجعة أمنية دورية مستقلة لأداء الموردين الحرجين بعد. (لم يُحتسب ضمن الضوابط المنفذة في لوحة المعلومات حتى اكتمال التنفيذ وتحقق التدقيق الداخلي من الأدلة)</t>
  </si>
  <si>
    <t>A.5.23 أمن المعلومات عند استخدام الخدمات السحابية</t>
  </si>
  <si>
    <t>البنك يستخدم AWS لأنظمة غير حرجة ومنصة Qualys السحابية وOffice 365؛ نموذج المسؤولية المشتركة يتطلب تحديداً واضحاً للمسؤوليات (R-014).</t>
  </si>
  <si>
    <t>حالة التنفيذ: مطبق جزئياً. المسؤول: مدير إدارة تقنية المعلومات. المخاطر المرتبطة: R-014، R-024. الوثائق المرتبطة: R9، M8. وُثّق نموذج المسؤولية المشتركة مع AWS ومايكروسوفت، وصلاحيات IAM مقيدة وMFA على الحسابات الإدارية، لكن خط أساس تكوينات السحابة والمراجعة الآلية الشهرية قيد التنفيذ (2026-12-31). (لم يُحتسب ضمن الضوابط المنفذة في لوحة المعلومات حتى اكتمال التنفيذ وتحقق التدقيق الداخلي من الأدلة)</t>
  </si>
  <si>
    <t>A.5.24 تخطيط وإعداد إدارة حوادث أمن المعلومات</t>
  </si>
  <si>
    <t>متطلب من ساما للإبلاغ الفوري عن الحوادث الكبيرة؛ البنك سبق أن تأخر في الإبلاغ 48 ساعة (INC-2025-011) وتأخر في الاكتشاف (R-002، R-024).</t>
  </si>
  <si>
    <t>حالة التنفيذ: مطبق بالكامل. المسؤول: فريق الاستجابة للحوادث. المخاطر المرتبطة: R-002، R-024، R-022. الوثائق المرتبطة: ISMS-DOC-A05-26-1. أُصدر إجراء الاستجابة لحوادث أمن المعلومات في 2026-05-04 متضمناً التصنيف والأولويات وأزمنة الاستجابة وقوائم الاتصال وخطة التواصل، وشُكّل فريق CSIRT من 3 أخصائيين مع مناوبات SOC.</t>
  </si>
  <si>
    <t>A.5.25 تقييم الأحداث الأمنية واتخاذ القرار بشأنها</t>
  </si>
  <si>
    <t>حجم السجلات والتنبيهات كبير ويحتاج تصنيفاً منهجياً ليُقرر ما إذا كان الحدث حادثاً؛ غياب SIEM يجعل التقييم يدوياً (R-024).</t>
  </si>
  <si>
    <t>حالة التنفيذ: مطبق جزئياً. المسؤول: فريق العمليات الأمنية (SOC). المخاطر المرتبطة: R-024، R-002. الوثائق المرتبطة: ISMS-DOC-A05-26-1، ISMS-PERF-09-1. يُنفّذ SOC تقييماً أولياً للأحداث وفق معايير تصنيف معتمدة (منخفض/متوسط/مرتفع/حرج) عبر Jira، لكن غياب الربط الآلي يطيل زمن التقييم؛ متوسط زمن الاكتشاف الحالي 6 ساعات والمستهدف ساعتان. (لم يُحتسب ضمن الضوابط المنفذة في لوحة المعلومات حتى اكتمال التنفيذ وتحقق التدقيق الداخلي من الأدلة)</t>
  </si>
  <si>
    <t>A.5.26 الاستجابة لحوادث أمن المعلومات</t>
  </si>
  <si>
    <t>البنك تعرض لخمسة حوادث سابقة بدرجات مختلفة؛ وجود إجراء استجابة موثق ومُختبر ضروري للحد من الأثر والامتثال لمتطلبات ساما.</t>
  </si>
  <si>
    <t>حالة التنفيذ: مطبق بالكامل. المسؤول: فريق الاستجابة للحوادث. المخاطر المرتبطة: R-001، R-002، R-009. الوثائق المرتبطة: ISMS-DOC-A05-26-1. الإجراء يغطي الاكتشاف والإبلاغ والتسجيل والتصنيف والاحتواء والتحقيق وجمع الأدلة والاستعادة والإغلاق والدروس المستفادة، ونُفّذ تمرين طاولة (Tabletop) في 2026-07-22 لسيناريو الفدية.</t>
  </si>
  <si>
    <t>A.5.27 التعلم من حوادث أمن المعلومات</t>
  </si>
  <si>
    <t>دراسة الحالة تنص على أن الدروس المستفادة من حادثة 2024 لم تُوثّق رسمياً (فجوة G-09)؛ التعلم يمنع تكرار الحوادث.</t>
  </si>
  <si>
    <t>حالة التنفيذ: مطبق بالكامل. المسؤول: فريق حوكمة أمن المعلومات. المخاطر المرتبطة: R-009، R-002، R-008. الوثائق المرتبطة: ISMS-DOC-A05-26-1، ISMS-PERF-09-1. أصبح نموذج الدروس المستفادة إلزامياً خلال 10 أيام عمل من إغلاق أي حادث، ووُثّقت الدروس للحوادث الخمسة السابقة وأُدرجت ضمن سجل الإجراءات التصحيحية ومتابعة مراجعة الإدارة.</t>
  </si>
  <si>
    <t>A.5.28 جمع الأدلة</t>
  </si>
  <si>
    <t>الحوادث قد تتطلب تحقيقاً جنائياً بالتعاون مع وزارة الداخلية والنيابة العامة، وأدلة رقمية مقبولة نظامياً؛ مرتبط بـR-016 وR-022.</t>
  </si>
  <si>
    <t>حالة التنفيذ: مطبق جزئياً. المسؤول: فريق الاستجابة للحوادث. المخاطر المرتبطة: R-016، R-022، R-002. الوثائق المرتبطة: ISMS-DOC-A05-26-1. وُثّق إجراء جمع الأدلة الرقمية وحفظ سلسلة العهدة (Chain of Custody) ضمن إجراء الاستجابة للحوادث، لكن لا يوجد مختبر جنائي رقمي داخلي ويُستعان بخبير خارجي عند الحاجة. (لم يُحتسب ضمن الضوابط المنفذة في لوحة المعلومات حتى اكتمال التنفيذ وتحقق التدقيق الداخلي من الأدلة)</t>
  </si>
  <si>
    <t>A.5.29 أمن المعلومات أثناء الانقطاع</t>
  </si>
  <si>
    <t>الخدمات المصرفية الرقمية حرجة وتوقفها 3 ساعات سابقاً سبّب أكثر من 5,000 شكوى؛ متطلبات ساما تلزم بخطة معتمدة (R-009، R-012، R-010).</t>
  </si>
  <si>
    <t>حالة التنفيذ: مطبق جزئياً. المسؤول: مدير إدارة تقنية المعلومات. المخاطر المرتبطة: R-012، R-009، R-010، R-021. الوثائق المرتبطة: G12. أُعدّت خطة استمرارية الأعمال والتعافي من الكوارث في 2026-05-18 مع BIA لـ12 عملية حرجة وأهداف RTO/RTO، لكنها لم تُختبر اختباراً شاملاً خلال آخر 12 شهراً (الاختبار السنوي مجدول في 2026-11). (لم يُحتسب ضمن الضوابط المنفذة في لوحة المعلومات حتى اكتمال التنفيذ وتحقق التدقيق الداخلي من الأدلة)</t>
  </si>
  <si>
    <t>A.5.30 جاهزية تقنية المعلومات والاتصالات لاستمرارية الأعمال</t>
  </si>
  <si>
    <t>وجود مركز تعافٍ في جدة وخوادم وأنظمة تخزين ونسخ احتياطي يتطلب جاهزية ICT موثقة ومُختبرة لدعم أهداف RTO/RPO (R-001، R-011، R-012).</t>
  </si>
  <si>
    <t>حالة التنفيذ: مطبق جزئياً. المسؤول: مدير إدارة تقنية المعلومات. المخاطر المرتبطة: R-011، R-012، R-001. الوثائق المرتبطة: G12، M8. مركز التعافي بجدة مجهز بـ10 خوادم وبيئة افتراضية مصغرة وروابط مزدوجة، وخطة DR موثقة، لكن اختبار الانتقال الكامل لم يُنفذ منذ أكثر من 12 شهراً والنسخ الاحتياطية غير معزولة بالكامل بعد. (لم يُحتسب ضمن الضوابط المنفذة في لوحة المعلومات حتى اكتمال التنفيذ وتحقق التدقيق الداخلي من الأدلة)</t>
  </si>
  <si>
    <t>A.5.31 المتطلبات القانونية والنظامية والتنظيمية والتعاقدية</t>
  </si>
  <si>
    <t>البنك خاضع لساما ونظام حماية البيانات الشخصية ومكافحة الجرائم المعلوماتية ومكافحة غسل الأموال ومتطلبات البنوك المراسلة وPCI DSS (R-018، R-019، R-022).</t>
  </si>
  <si>
    <t>حالة التنفيذ: قيد التنفيذ. المسؤول: مدير إدارة الالتزام والحوكمة. المخاطر المرتبطة: R-018، R-019، R-025. الوثائق المرتبطة: ISMS-DOC-04-1. أُنشئ سجل موحد للمتطلبات القانونية والتنظيمية والتعاقدية في 2026-08 ويراجع نصف سنوياً مع ربط كل متطلب بالضابط المسؤول والدليل؛ اكتمال الربط لجميع العقود مستهدف 2026-10-31. (لم يُحتسب ضمن الضوابط المنفذة في لوحة المعلومات حتى اكتمال التنفيذ وتحقق التدقيق الداخلي من الأدلة)</t>
  </si>
  <si>
    <t>A.5.32 حقوق الملكية الفكرية</t>
  </si>
  <si>
    <t>البنك يملك كوداً مصدرياً لتطبيقاته ويستخدم برمجيات مرخصة (SAP، Oracle، Microsoft، VMware، Palo Alto) وشركاء تطوير خارجيين (R-023، R-013).</t>
  </si>
  <si>
    <t>حالة التنفيذ: مطبق بالكامل. المسؤول: إدارة المشتريات والعقود. المخاطر المرتبطة: R-023، R-013. الوثائق المرتبطة: M8. سجل تراخيص البرمجيات مُدار ضمن إدارة المشتريات مع مطابقة دورية للتراخيص المثبتة، وعقود التطوير الخارجي تنص صراحة على ملكية البنك للكود المصدري وحقوق الاستخدام.</t>
  </si>
  <si>
    <t>A.5.33 حماية السجلات</t>
  </si>
  <si>
    <t>متطلبات ساما والزكاة والضريبة ومكافحة غسل الأموال ونظام حماية البيانات الشخصية تفرض مدداً محددة لحفظ السجلات وحمايتها من التلف أو التعديل.</t>
  </si>
  <si>
    <t>حالة التنفيذ: مطبق بالكامل. المسؤول: مدير إدارة الالتزام والحوكمة. المخاطر المرتبطة: R-019، R-011، R-002. الوثائق المرتبطة: ISMS-DOC-A05-9-2. سجل حفظ السجلات يحدد المدة لكل فئة (10 سنوات للمعاملات وبيانات العملاء، 3 سنوات لتسجيلات المكالمات، 90 يوماً لـCCTV، 7 سنوات للنسخ الاحتياطية) مع نسخ احتياطي وحماية من التعديل.</t>
  </si>
  <si>
    <t>A.5.34 الخصوصية وحماية المعلومات الشخصية (PII)</t>
  </si>
  <si>
    <t>البنك يعالج بيانات شخصية لأكثر من 500,000 عميل و2,500 موظف ومتقاعدين، وبيانات بيومترية؛ نظام حماية البيانات الشخصية يلزم بمتطلبات صارمة (R-019، R-025).</t>
  </si>
  <si>
    <t>حالة التنفيذ: مطبق جزئياً. المسؤول: مدير إدارة الشؤون القانونية. المخاطر المرتبطة: R-019، R-025، R-007. الوثائق المرتبطة: ISMS-DOC-04-1، ISMS-DOC-A05-9-2. سياسة خصوصية معلنة ونماذج موافقة عند فتح الحساب وتشفير للبيانات الشخصية، لكن سجل أنشطة المعالجة (RoPA) وآلية طلبات أصحاب البيانات غير مؤتمتة بعد، وتعيين مسؤول حماية البيانات قيد الاعتماد. (لم يُحتسب ضمن الضوابط المنفذة في لوحة المعلومات حتى اكتمال التنفيذ وتحقق التدقيق الداخلي من الأدلة)</t>
  </si>
  <si>
    <t>A.5.35 المراجعة المستقلة لأمن المعلومات</t>
  </si>
  <si>
    <t>البند 9.2 يلزم بتدقيق داخلي على فترات مخططة، وساما تتطلب تقييمات مستقلة؛ البنك يملك إدارة مراجعة داخلية مستقلة.</t>
  </si>
  <si>
    <t>حالة التنفيذ: مطبق بالكامل. المسؤول: مدير إدارة المراجعة الداخلية. المخاطر المرتبطة: الجميع. الوثائق المرتبطة: ISMS-DOC-09-5. نفذت إدارة المراجعة الداخلية تدقيقاً على ISMS في الفترة 2026-08-16 إلى 2026-08-27 وأصدرت تقريرها في 2026-09-01، ويستعان بمدقق خارجي معتمد لمراجعة سنوية مستقلة قبل شهادة ISO 27001.</t>
  </si>
  <si>
    <t>A.5.36 الامتثال لسياسات وقواعد ومعايير أمن المعلومات</t>
  </si>
  <si>
    <t>وجود سياسات دون تحقق من الامتثال لا يحقق الغرض؛ دراسة الحالة أظهرت ممارسات مخالفة (بيانات في بيئة الاختبار، صلاحيات زائدة، أجهزة غير مشفرة).</t>
  </si>
  <si>
    <t>حالة التنفيذ: مطبق جزئياً. المسؤول: فريق حوكمة أمن المعلومات. المخاطر المرتبطة: R-006، R-007، R-015. الوثائق المرتبطة: ISMS-PERF-09-1، ISMS-DOC-09-5. تُجرى مراجعات امتثال دورية (صلاحيات ربع سنوية، أجهزة مشفرة شهرياً، محاكاة تصيد ربع سنوية) وتُرفع نتائجها في تقرير الأداء، لكن نطاق المراجعات لا يغطي بعد جميع السياسات المعتمدة. (لم يُحتسب ضمن الضوابط المنفذة في لوحة المعلومات حتى اكتمال التنفيذ وتحقق التدقيق الداخلي من الأدلة)</t>
  </si>
  <si>
    <t>A.5.37 إجراءات التشغيل الموثقة</t>
  </si>
  <si>
    <t>متطلب من ساما للعمليات الآمنة، والفجوات التشغيلية السابقة (تغييرات الشبكة، انتهاء الشهادات، النسخ الاحتياطي) تستوجب إجراءات تشغيل موثقة (R-008، R-009، R-011).</t>
  </si>
  <si>
    <t>حالة التنفيذ: مطبق بالكامل. المسؤول: مدير إدارة تقنية المعلومات. المخاطر المرتبطة: R-008، R-009، R-011، R-030. الوثائق المرتبطة: M8. أُصدرت إجراءات التشغيل الآمن (SOP) في 2026-06-01 وتشمل النسخ الاحتياطي، وإدارة التغيير، وإدارة الثغرات والترقيع، وإدارة الشهادات الرقمية، وإدارة الصلاحيات، ومراقبة الأنظمة.</t>
  </si>
  <si>
    <t>الإجمالي:</t>
  </si>
  <si>
    <t>A.6 ضوابط الأشخاص</t>
  </si>
  <si>
    <t>A.6.1 الفحص والتدقيق الأمني قبل التوظيف</t>
  </si>
  <si>
    <t>البنك يعيّن موظفين في وظائف حساسة (تقنية المعلومات، الخزينة، المالية) ويضم وافدين بجنسيات مختلفة؛ الفحص الأمني يحد من التهديدات الداخلية R-016.</t>
  </si>
  <si>
    <t>حالة التنفيذ: مطبق جزئياً. المسؤول: مدير إدارة الموارد البشرية. المخاطر المرتبطة: R-016، R-030. الوثائق المرتبطة: ISMS-DOC-05-4. يُجرى تحقق من المؤهلات والسجل المهني وشهادة عدم محكومية لجميع المرشحين، والفحص الأمني الموسع (الائتماني والمراجع) مطبق على الوظائف الحساسة فقط ويجري توسيعه ليشمل جميع من يملك وصولاً إدارياً. (لم يُحتسب ضمن الضوابط المنفذة في لوحة المعلومات حتى اكتمال التنفيذ وتحقق التدقيق الداخلي من الأدلة)</t>
  </si>
  <si>
    <t>A.6.2 شروط وأحكام التوظيف</t>
  </si>
  <si>
    <t>عقود العمل يجب أن تتضمن التزامات أمن المعلومات والسرية والمسؤولية عن الأصول لضمان المساءلة القانونية للموظفين والمتعاقدين.</t>
  </si>
  <si>
    <t>حالة التنفيذ: مطبق بالكامل. المسؤول: مدير إدارة الموارد البشرية. المخاطر المرتبطة: R-016، R-007. الوثائق المرتبطة: ISMS-DOC-A05-10-1. عقود العمل ونماذج التعيين تتضمن بنداً ملزماً بالامتثال لسياسات أمن المعلومات وحماية البيانات والسرية أثناء وبعد الخدمة، مع إقرار موقع من كل موظف ومتعاقد.</t>
  </si>
  <si>
    <t>A.6.3 التوعية والتثقيف والتدريب على أمن المعلومات</t>
  </si>
  <si>
    <t>محاكاة التصيد أظهرت أن 25% من الموظفين نقروا و12% أدخلوا بيانات اعتمادهم و8% فقط أبلغوا، وأعلى نسبة في إدارة التسويق 40%؛ البيئة متعددة الجنسيات تتطلب مواد متعددة اللغات (R-002).</t>
  </si>
  <si>
    <t>حالة التنفيذ: مطبق جزئياً. المسؤول: مدير إدارة الموارد البشرية. المخاطر المرتبطة: R-002، R-003، R-030. الوثائق المرتبطة: ISMS-DOC-A05-10-1، G2. توعية سنوية إلزامية لجميع الموظفين وبرنامج توعوي شهري بدأ 2026-05، ومحاكاة تصيد ربع سنوية، وتدريب متخصص للفرق التقنية (الترميز الآمن)؛ نسبة الإكمال الحالية 78% والمستهدف 95% بنهاية 2026. (لم يُحتسب ضمن الضوابط المنفذة في لوحة المعلومات حتى اكتمال التنفيذ وتحقق التدقيق الداخلي من الأدلة)</t>
  </si>
  <si>
    <t>A.6.4 الإجراءات التأديبية</t>
  </si>
  <si>
    <t>لا بد من جزاءات رادعة لمخالفي سياسات أمن المعلومات لضمان جدية الالتزام؛ دراسة الحالة تشير إلى مقاومة ثقافية للإجراءات الأمنية.</t>
  </si>
  <si>
    <t>حالة التنفيذ: مطبق بالكامل. المسؤول: مدير إدارة الموارد البشرية. المخاطر المرتبطة: R-016، R-007. الوثائق المرتبطة: ISMS-DOC-A05-10-1. لائحة الجزاءات المعتمدة من الموارد البشرية تتضمن مخالفات أمن المعلومات (مشاركة كلمات المرور، تخزين بيانات عملاء، تجاوز السياسات) وإجراءات تحقيق عادلة قبل اتخاذ أي جزاء.</t>
  </si>
  <si>
    <t>A.6.5 المسؤوليات بعد إنهاء أو تغيير التوظيف</t>
  </si>
  <si>
    <t>دوران 12% سنوياً في تقنية المعلومات وبقاء صلاحيات موروثة (INC-2026-009) يجعلان إجراءات ما بعد الإنهاء حرجة لمنع الوصول غير المصرح R-006 وR-016.</t>
  </si>
  <si>
    <t>حالة التنفيذ: مطبق جزئياً. المسؤول: مدير إدارة الموارد البشرية. المخاطر المرتبطة: R-006، R-016، R-013. الوثائق المرتبطة: M8. سحب الحسابات والصلاحيات يتم خلال 4 ساعات من إشعار إنهاء الخدمة وبطاقات الدخول تُستلم في آخر يوم عمل، لكن المتابعة على حسابات الموردين والمتعاقدين الخارجيين ما زالت يدوية. (لم يُحتسب ضمن الضوابط المنفذة في لوحة المعلومات حتى اكتمال التنفيذ وتحقق التدقيق الداخلي من الأدلة)</t>
  </si>
  <si>
    <t>A.6.6 اتفاقيات السرية وعدم الإفصاح</t>
  </si>
  <si>
    <t>البنك يتعامل مع معلومات سرية للغاية (بيانات عملاء، استثمارات، محاضر مجلس إدارة، كود مصدري) ومع موردين وشركاء تطوير خارجيين R-023 وR-013.</t>
  </si>
  <si>
    <t>حالة التنفيذ: مطبق بالكامل. المسؤول: مدير إدارة الشؤون القانونية. المخاطر المرتبطة: R-023، R-013، R-016. الوثائق المرتبطة: ISMS-DOC-A05-10-1. جميع الموظفين والمتعاقدين وقعوا اتفاقيات سرية تستمر بعد انتهاء العلاقة، واتفاقيات NDA موقعة مع جميع الموردين الذين يصلون إلى أنظمة البنك أو بياناته.</t>
  </si>
  <si>
    <t>A.6.7 العمل عن بُعد</t>
  </si>
  <si>
    <t>حوالي 200 مدير وموظف متنقل يستخدمون أجهزة ذكية، وفقد جهاز محمول سابقاً (INC-2025-011)؛ العمل الهجين قائم فعلياً R-007 وR-027.</t>
  </si>
  <si>
    <t>حالة التنفيذ: مطبق جزئياً. المسؤول: مدير قسم الدعم الفني. المخاطر المرتبطة: R-007، R-027. الوثائق المرتبطة: ISMS-DOC-A05-10-1، R9. سياسة العمل عن بُعد معتمدة تتطلب VPN وMFA وأجهزة مسجلة ومشغلة BitLocker، لكن إدارة الأجهزة المحمولة (MDM) لا تغطي بعد جميع الأجهزة الذكية الشخصية المستخدمة في العمل. (لم يُحتسب ضمن الضوابط المنفذة في لوحة المعلومات حتى اكتمال التنفيذ وتحقق التدقيق الداخلي من الأدلة)</t>
  </si>
  <si>
    <t>A.6.8 الإبلاغ عن الأحداث الأمنية</t>
  </si>
  <si>
    <t>8% فقط من الموظفين أبلغوا عن بريد التصيد المشبوه، وتأخر الإبلاغ عن فقدان جهاز 48 ساعة؛ سرعة الإبلاغ شرط للاحتواء والامتثال R-002 وR-007.</t>
  </si>
  <si>
    <t>حالة التنفيذ: مطبق جزئياً. المسؤول: فريق العمليات الأمنية (SOC). المخاطر المرتبطة: R-002، R-007، R-024. الوثائق المرتبطة: ISMS-DOC-A05-26-1، G2. توجد قناة إبلاغ معلنة (بريد security@ ومسار في Jira) وخُفض زمن الإبلاغ الإلزامي إلى 4 ساعات، لكن نسبة الإبلاغ الطوعي ما زالت منخفضة وتتطلب تعزيزاً عبر التوعية وحملات داخلية. (لم يُحتسب ضمن الضوابط المنفذة في لوحة المعلومات حتى اكتمال التنفيذ وتحقق التدقيق الداخلي من الأدلة)</t>
  </si>
  <si>
    <t>A.7 الضوابط المادية</t>
  </si>
  <si>
    <t>A.7.1 حدود الأمن المادي</t>
  </si>
  <si>
    <t>مركز البيانات الرئيسي في الطابق الثالث منطقة معزولة ومؤمنة، ومركز العمليات الأمنية في الطابق الرابع، و25 فرعاً وغرف تقنية ومركز تعافٍ بجدة.</t>
  </si>
  <si>
    <t>حالة التنفيذ: مطبق بالكامل. المسؤول: مدير إدارة المرافق والخدمات العامة. المخاطر المرتبطة: R-012، R-020. الوثائق المرتبطة: G12، ISMS-DOC-04-1. حددت المناطق الآمنة (مركز البيانات، SOC، غرف التقنية في الفروع، الخزائن) وجُهزت بجدران وأبواب مقاومة للحريق وتحكم في الدخول، وتُراجع الحدود سنوياً مع أي تغيير في استخدام المساحات.</t>
  </si>
  <si>
    <t>A.7.2 الدخول المادي</t>
  </si>
  <si>
    <t>الدخول إلى مركز البيانات يتم ببطاقات ذكية وبصمة إصبع مع تسجيل كامل للحركة؛ مطلوب منع الوصول غير المصرح للمناطق الحساسة.</t>
  </si>
  <si>
    <t>حالة التنفيذ: مطبق بالكامل. المسؤول: مدير إدارة المرافق والخدمات العامة. المخاطر المرتبطة: R-016، R-012. الوثائق المرتبطة: M8. تحكم في الدخول ببطاقة ذكية + بصمة لمركز البيانات وSOC، وبطاقات للموظفين حسب مناطق عملهم، وسجلات دخول محفوظة 90 يوماً، وحراسة أمنية على المداخل الرئيسية والخلفية.</t>
  </si>
  <si>
    <t>A.7.3 تأمين المكاتب والغرف والمرافق</t>
  </si>
  <si>
    <t>مكاتب الإدارات الحساسة (الخزينة، المالية، القانونية، الموارد البشرية) تحتوي وثائق ومعلومات سرية تتطلب حماية مادية ومنطقية.</t>
  </si>
  <si>
    <t>حالة التنفيذ: مطبق بالكامل. المسؤول: مدير إدارة المرافق والخدمات العامة. المخاطر المرتبطة: R-011، R-009. الوثائق المرتبطة: ISMS-DOC-A05-10-1. المكاتب الحساسة مقيدة الدخول بمجموعات صلاحيات على بطاقات الموظفين، والخزائن الفرعية في الفروع مؤمنة برقمين ومفتاحين، وأرشيف الوثائق الورقية في غرف مغلقة.</t>
  </si>
  <si>
    <t>A.7.4 مراقبة الأمن المادي</t>
  </si>
  <si>
    <t>أنظمة CCTV تغطي جميع مباني البنك، وأجهزة صراف آلي في 75 موقعاً مستقلاً غير محروس دائماً؛ المراقبة ضرورية للكشف والرد R-020 وR-016.</t>
  </si>
  <si>
    <t>حالة التنفيذ: مطبق جزئياً. المسؤول: مدير إدارة المرافق والخدمات العامة. المخاطر المرتبطة: R-020، R-012. الوثائق المرتبطة: M8، G12. CCTV يعمل على مدار الساعة مع حفظ 90 يوماً، ومراقبة حية للمقر الرئيسي، لكن المراقبة المركزية لأجهزة الصراف الآلي المستقلة تعتمد على المورد ولا تُراجع تنبيهاتها ضمن SOC بعد. (لم يُحتسب ضمن الضوابط المنفذة في لوحة المعلومات حتى اكتمال التنفيذ وتحقق التدقيق الداخلي من الأدلة)</t>
  </si>
  <si>
    <t>A.7.5 الحماية من التهديدات المادية والبيئية</t>
  </si>
  <si>
    <t>مراكز البيانات معرضة لخطر الحريق وارتفاع الحرارة وانقطاع الطاقة وتسرب المياه؛ الرياض تشهد درجات حرارة عالية صيفاً R-026 وR-012.</t>
  </si>
  <si>
    <t>حالة التنفيذ: مطبق بالكامل. المسؤول: مدير إدارة المرافق والخدمات العامة. المخاطر المرتبطة: R-026، R-012. الوثائق المرتبطة: G12. أنظمة إنذار وإخماد حريق بالغاز النظيف، وتكييف دقيق مزدوج، وأجهزة استشعار حرارة ورطوبة وتسرب مياه، وUPS ومولدات احتياطية مع اختبارات دورية.</t>
  </si>
  <si>
    <t>A.7.6 العمل في المناطق الآمنة</t>
  </si>
  <si>
    <t>العمل داخل مركز البيانات وSOC يتطلب قواعد صارمة (منع التصوير، المرافقة، تسجيل الدخول) لمنع الإفصاح أو العبث.</t>
  </si>
  <si>
    <t>حالة التنفيذ: مطبق بالكامل. المسؤول: مدير إدارة أمن المعلومات. المخاطر المرتبطة: R-016، R-013. الوثائق المرتبطة: M8. قواعد العمل في المناطق الآمنة معتمدة: تصريح مسبق للدخول، مرافقة إلزامية للزوار والموردين، منع الأجهزة الشخصية والتصوير، وسجل حركة للدخول والخروج يُراجع شهرياً.</t>
  </si>
  <si>
    <t>A.7.7 سياسة المكتب النظيف والشاشة النظيفة</t>
  </si>
  <si>
    <t>الفروع والمكاتب تستقبل عملاء وزواراً وتحتوي وثائق شخصية ومالية؛ الإهمال في ترك الوثائق أو الشاشات مكشوفة خطر واقعي.</t>
  </si>
  <si>
    <t>حالة التنفيذ: مطبق جزئياً. المسؤول: مدير إدارة أمن المعلومات. المخاطر المرتبطة: R-019، R-011. الوثائق المرتبطة: ISMS-DOC-A05-10-1. السياسة معتمدة ضمن سياسة الاستخدام المقبول (قفل الشاشة تلقائياً بعد 10 دقائق، عدم ترك وثائق مطبوعة)، وتُنفذ جولات تفتيش ربع سنوية في المقر، لكن الالتزام في الفروع غير مُقاس بشكل منتظم. (لم يُحتسب ضمن الضوابط المنفذة في لوحة المعلومات حتى اكتمال التنفيذ وتحقق التدقيق الداخلي من الأدلة)</t>
  </si>
  <si>
    <t>A.7.8 تموضع المعدات وحمايتها</t>
  </si>
  <si>
    <t>40 خادماً فعلياً و200 خادم افتراضي وأنظمة تخزين وأجهزة شبكة و300 طابعة و150 جهاز صراف آلي تتطلب حماية من الأخطار البيئية والعبث.</t>
  </si>
  <si>
    <t>حالة التنفيذ: مطبق بالكامل. المسؤول: مدير إدارة تقنية المعلومات. المخاطر المرتبطة: R-020، R-026. الوثائق المرتبطة: M8، R9. المعدات موزعة على رفوف معيارية في مركز البيانات مع فصل بين مناطق الإنتاج والاختبار، وأجهزة الصراف مثبتة ومؤمنة، والطابعات الشبكية مقيدة الدخول ومحمية بكلمات مرور.</t>
  </si>
  <si>
    <t>A.7.9 أمن الأصول خارج المواقع</t>
  </si>
  <si>
    <t>حوالي 2,000 حاسوب محمول و500 جهاز ذكي تُستخدم خارج البنك، وسبق فقدان جهاز يحتوي بيانات عملاء غير مشفرة (INC-2025-011) R-007 وR-027.</t>
  </si>
  <si>
    <t>حالة التنفيذ: مطبق جزئياً. المسؤول: مدير قسم الدعم الفني. المخاطر المرتبطة: R-007، R-027. الوثائق المرتبطة: ISMS-DOC-A05-10-1، R9. تشفير BitLocker مفعل على 92% من الأجهزة المحمولة، وسياسة تحظر تخزين بيانات العملاء محلياً، وإبلاغ إلزامي خلال 4 ساعات، ومسح عن بُعد ممكن؛ استكمال 8% المتبقية جارٍ حتى 2026-10-31. (لم يُحتسب ضمن الضوابط المنفذة في لوحة المعلومات حتى اكتمال التنفيذ وتحقق التدقيق الداخلي من الأدلة)</t>
  </si>
  <si>
    <t>A.7.10 وسائط التخزين</t>
  </si>
  <si>
    <t>مكتبة أشرطة النسخ الاحتياطي تُنقل أسبوعياً إلى موقع خارجي في جدة، وتُستخدم وسائط قابلة للإزالة في عمليات محدودة R-031 وR-011.</t>
  </si>
  <si>
    <t>حالة التنفيذ: مطبق جزئياً. المسؤول: مدير قسم البنية التحتية والشبكات. المخاطر المرتبطة: R-031، R-011. الوثائق المرتبطة: M8، G12. الأشرطة مشفرة وموضوعة في صناديق مؤمنة مع سجل حركة يدوي، وسياسة تحظر استخدام USB غير مشفر، لكن التتبع الآلي للشحنات والتحقق الشهري من قراءة الأشرطة قيد التنفيذ. (لم يُحتسب ضمن الضوابط المنفذة في لوحة المعلومات حتى اكتمال التنفيذ وتحقق التدقيق الداخلي من الأدلة)</t>
  </si>
  <si>
    <t>A.7.11 المرافق المساندة</t>
  </si>
  <si>
    <t>استمرارية الطاقة والتكييف والاتصالات شرط لتوافر الأنظمة الحرجة (RTO من 15 دقيقة إلى 24 ساعة حسب العملية) R-026 وR-012.</t>
  </si>
  <si>
    <t>حالة التنفيذ: مطبق جزئياً. المسؤول: مدير إدارة المرافق والخدمات العامة. المخاطر المرتبطة: R-026، R-012، R-021. الوثائق المرتبطة: G12، M8. UPS ومولدات احتياطية في المقر ومركز التعافي والفروع الكبيرة، وصيانة وقائية ربع سنوية؛ رفع الصيانة إلى شهرية مع اختبار حِمل فعلي كل 3 أشهر ضمن معالجة R-026 (نُقلت لمقاول متخصص). (لم يُحتسب ضمن الضوابط المنفذة في لوحة المعلومات حتى اكتمال التنفيذ وتحقق التدقيق الداخلي من الأدلة)</t>
  </si>
  <si>
    <t>A.7.12 أمن الكابلات</t>
  </si>
  <si>
    <t>الكابلات النحاسية والبصرية في مركز البيانات والفروع وغرف التقنية معرضة للعبث أو التلف أو التنصت.</t>
  </si>
  <si>
    <t>حالة التنفيذ: مطبق بالكامل. المسؤول: مدير قسم البنية التحتية والشبكات. المخاطر المرتبطة: R-009، R-021. الوثائق المرتبطة: M8. الكابلات داخل قنوات ومسارات مغلقة وموسومة، وغرف التقنية في الفروع مغلقة ومقيدة الدخول، والاتصالات الحساسة مع ساما وشبكة المدفوعات عبر خطوط مؤمنة ومشفرة.</t>
  </si>
  <si>
    <t>A.7.13 صيانة المعدات</t>
  </si>
  <si>
    <t>المعدات الحرجة (خوادم، تخزين، شبكة، مرافق، صرافات) تتطلب صيانة دورية وفق عقود موردين مع إشراف أمني R-026 وR-020.</t>
  </si>
  <si>
    <t>حالة التنفيذ: مطبق بالكامل. المسؤول: مدير إدارة المرافق والخدمات العامة. المخاطر المرتبطة: R-026، R-020، R-013. الوثائق المرتبطة: M8. عقود صيانة معتمدة مع الموردين (HP، Dell، Cisco، NetApp، NCR/Diebold)، وجدول صيانة وقائية موثق، ومرافقة موظف من البنك لأي تدخل داخل المناطق الآمنة مع سجل عمل.</t>
  </si>
  <si>
    <t>A.7.14 التخلص الآمن من المعدات أو إعادة استخدامها</t>
  </si>
  <si>
    <t>الأجهزة المستبدلة (2,000 لابتوب بدورة حياة 4 سنوات، خوادم، أشرطة) قد تحتوي بيانات حساسة تتطلب محواً آمناً.</t>
  </si>
  <si>
    <t>حالة التنفيذ: مطبق جزئياً. المسؤول: مدير قسم الدعم الفني. المخاطر المرتبطة: R-007، R-011، R-031. الوثائق المرتبطة: M8. يُجرى مسح آمن للأقراص وفق NIST 800-88 قبل التخلص أو إعادة الاستخدام مع شهادة إتلاف، لكن الإجراءات لا تغطي بعد جميع الوسائط (أشرطة منتهية، أجهزة صراف مستبدلة) وتُستكمل ضمن خطة 2026. (لم يُحتسب ضمن الضوابط المنفذة في لوحة المعلومات حتى اكتمال التنفيذ وتحقق التدقيق الداخلي من الأدلة)</t>
  </si>
  <si>
    <t>A.8 الضوابط التقنية</t>
  </si>
  <si>
    <t>A.8.1 أجهزة المستخدم النهائي</t>
  </si>
  <si>
    <t>2,000 حاسوب محمول و500 مكتبي و300 طابعة وأجهزة لوحية وهواتف ذكية تشكل أكبر سطح هجوم في البنك R-007 وR-027 وR-002.</t>
  </si>
  <si>
    <t>حالة التنفيذ: مطبق جزئياً. المسؤول: مدير قسم الدعم الفني. المخاطر المرتبطة: R-007، R-027. الوثائق المرتبطة: R9، ISMS-DOC-A05-10-1. الأجهزة موحدة (HP EliteBook/EliteDesk) وتُدار عبر Intune مع سياسات كلمات مرور وقفل تلقائي وتحديثات، وتشفير 92%؛ MDM للأجهزة الذكية وتقييد التطبيقات ما زالا قيد الاستكمال. (لم يُحتسب ضمن الضوابط المنفذة في لوحة المعلومات حتى اكتمال التنفيذ وتحقق التدقيق الداخلي من الأدلة)</t>
  </si>
  <si>
    <t>A.8.2 حقوق الوصول المميّزة</t>
  </si>
  <si>
    <t>فجوة جوهرية: كلمات مرور المسؤولين تُدار يدوياً وتُشارك بين المهندسين (G-03) مما يجعل السيطرة على الوصول المميّز غير كافية R-005 وR-016.</t>
  </si>
  <si>
    <t>حالة التنفيذ: قيد التنفيذ. المسؤول: مدير إدارة تقنية المعلومات. المخاطر المرتبطة: R-005، R-016، R-006. الوثائق المرتبطة: M8، R9. عدد الحسابات الإدارية مقيد وموثق وMFA مطبق على بعضها، ويجري تنفيذ نظام PAM مع تدوير آلي كل 24 ساعة وتسجيل الجلسات (المستهدف 2027-01-31)، وبدأت مراجعة ربع سنوية للحسابات المميّزة. (لم يُحتسب ضمن الضوابط المنفذة في لوحة المعلومات حتى اكتمال التنفيذ وتحقق التدقيق الداخلي من الأدلة)</t>
  </si>
  <si>
    <t>A.8.3 تقييد الوصول إلى المعلومات</t>
  </si>
  <si>
    <t>بيانات العملاء والموظفين والخزينة تتطلب وصولاً على أساس الحاجة فقط؛ حادثة INC-2026-009 أظهرت صلاحيات زائدة R-006 وR-019 وR-025.</t>
  </si>
  <si>
    <t>حالة التنفيذ: مطبق جزئياً. المسؤول: مدير قسم البنية التحتية والشبكات. المخاطر المرتبطة: R-006، R-019، R-025. الوثائق المرتبطة: M8. الصلاحيات تُمنح عبر مجموعات AD وفق RBAC وبموافقة مالك الأصل، وطُبّق تقييد إضافي على قاعدة البيانات البيومترية ومجلدات الموارد البشرية؛ الأتمتة الكاملة والمراجعة الدورية قيد الاستكمال. (لم يُحتسب ضمن الضوابط المنفذة في لوحة المعلومات حتى اكتمال التنفيذ وتحقق التدقيق الداخلي من الأدلة)</t>
  </si>
  <si>
    <t>A.8.4 الوصول إلى الكود المصدري</t>
  </si>
  <si>
    <t>الكود المصدري لتطبيق آفاق بلس وآفاق نت أصل شديد السرية، ويصل إليه 25 مطوراً داخلياً ومطورون خارجيون R-023 وR-013.</t>
  </si>
  <si>
    <t>حالة التنفيذ: مطبق جزئياً. المسؤول: رئيس قسم تطوير البرمجيات. المخاطر المرتبطة: R-023، R-013. الوثائق المرتبطة: M8، ISMS-DOC-A05-10-1. GitLab Enterprise بصلاحيات مخصصة لكل مطور ومراجعة كود إلزامية قبل الدمج (Merge Request)؛ تفعيل MFA على جميع الحسابات ومراقبة التنزيلات الكبيرة قيد التنفيذ حتى 2026-10-31. (لم يُحتسب ضمن الضوابط المنفذة في لوحة المعلومات حتى اكتمال التنفيذ وتحقق التدقيق الداخلي من الأدلة)</t>
  </si>
  <si>
    <t>A.8.5 المصادقة الآمنة</t>
  </si>
  <si>
    <t>قنوات رقمية تخدم 500,000 عميل وبيئة موظفين مستهدفة بالتصيد (12% أدخلوا بيانات اعتمادهم في محاكاة 2026-08) R-002 وR-022 وR-005.</t>
  </si>
  <si>
    <t>حالة التنفيذ: مطبق جزئياً. المسؤول: مدير إدارة أمن المعلومات. المخاطر المرتبطة: R-002، R-022، R-005. الوثائق المرتبطة: R9، ISMS-DOC-A05-10-1. MFA للعملاء على العمليات الحساسة وللموظفين عبر RSA SecurID على الأنظمة الحساسة، وكلمات مرور قوية؛ التوسع إلى MFA مقاوم للتصيد (FIDO2) لجميع الموظفين والمصادقة القوية على كل عمليات الدفع جارٍ. (لم يُحتسب ضمن الضوابط المنفذة في لوحة المعلومات حتى اكتمال التنفيذ وتحقق التدقيق الداخلي من الأدلة)</t>
  </si>
  <si>
    <t>A.8.6 إدارة السعة</t>
  </si>
  <si>
    <t>ذروة الاستخدام خلال فترة الرواتب سبّبت تضخيم أثر انقطاع 2024، والخدمات الرقمية تعمل 24/7 مع نمو مستمر في عدد العملاء R-010 وR-012.</t>
  </si>
  <si>
    <t>حالة التنفيذ: مطبق بالكامل. المسؤول: مدير إدارة تقنية المعلومات. المخاطر المرتبطة: R-010، R-012، R-014. الوثائق المرتبطة: M8، G12. مراقبة أداء وسعة الخوادم والتخزين وعرض النطاق مع تنبيهات عند تجاوز 80%، وتخطيط سعة سنوي يراعي مواسم الذروة (الرواتب، رمضان)، وسعة تخزين تزيد على 200 تيرابايت مع نمو مخطط.</t>
  </si>
  <si>
    <t>A.8.7 الحماية من البرمجيات الخبيثة</t>
  </si>
  <si>
    <t>هجمات الفدية أبرز التهديدات على القطاع المصرفي، و2,500 جهاز طرفي و200+ خادم افتراضي تتطلب حماية فعالة R-001 وR-028.</t>
  </si>
  <si>
    <t>حالة التنفيذ: مطبق جزئياً. المسؤول: فريق العمليات الأمنية (SOC). المخاطر المرتبطة: R-001، R-028. الوثائق المرتبطة: M8، R9. حل Trend Micro منتشر على الأجهزة الطرفية والخوادم مع تحديثات يومية للسياسات والتواقيع ومراقبة مركزية؛ الترقية إلى EDR/XDR مع قدرات العزل التلقائي ضمن معالجة R-001 (35% منجزة). (لم يُحتسب ضمن الضوابط المنفذة في لوحة المعلومات حتى اكتمال التنفيذ وتحقق التدقيق الداخلي من الأدلة)</t>
  </si>
  <si>
    <t>A.8.8 إدارة الثغرات التقنية</t>
  </si>
  <si>
    <t>آخر فحص كشف 3 ثغرات عالية (عالجت ثنتان) و12 متوسطة و12 منخفضة، وبعضها مكرر من فحوصات سابقة دون معالجة (G-11) R-003 وR-004 وR-017.</t>
  </si>
  <si>
    <t>حالة التنفيذ: مطبق جزئياً. المسؤول: فريق تقييم المخاطر والثغرات. المخاطر المرتبطة: R-003، R-004، R-017. الوثائق المرتبطة: M8، ISMS-PERF-09-1. فحص ربع سنوي عبر Qualys واستشاري خارجي وخطة ترقيع شهرية، لكن الالتزام بالمدد الزمنية غير مكتمل؛ اعتُمدت مستويات خدمة (حرجة 7 أيام، عالية 15 يوماً، متوسطة 30، منخفضة 90) مع متابعة شهرية. (لم يُحتسب ضمن الضوابط المنفذة في لوحة المعلومات حتى اكتمال التنفيذ وتحقق التدقيق الداخلي من الأدلة)</t>
  </si>
  <si>
    <t>A.8.9 إدارة التكوينات</t>
  </si>
  <si>
    <t>فجوة G-12: لم تكن هناك خطوط أساس موثقة للتكوينات الآمنة، وتغيير خاطئ في تكوين جدار الحماية سبّب انقطاعاً كاملاً R-009 وR-014.</t>
  </si>
  <si>
    <t>حالة التنفيذ: مطبق جزئياً. المسؤول: قسم البنية التحتية والشبكات. المخاطر المرتبطة: R-009، R-014، R-001. الوثائق المرتبطة: R9، M8. أُصدر خط الأساس للتكوينات الآمنة في 2026-06-15 لأجهزة الموظفين المحمولة والخوادم وأجهزة الشبكة وقواعد البيانات وجدران الحماية، وبدأ تطبيقه على أجهزة الموظفين؛ التغطية الكاملة ومؤتمتة التحقق قيد التنفيذ. (لم يُحتسب ضمن الضوابط المنفذة في لوحة المعلومات حتى اكتمال التنفيذ وتحقق التدقيق الداخلي من الأدلة)</t>
  </si>
  <si>
    <t>A.8.10 حذف المعلومات</t>
  </si>
  <si>
    <t>نظام حماية البيانات الشخصية يمنح أصحاب البيانات حق الحذف، ومدد الاحتفاظ محددة؛ البيانات المخزنة على 200+ تيرابايت ونسخ احتياطية.</t>
  </si>
  <si>
    <t>حالة التنفيذ: مطبق جزئياً. المسؤول: مدير قسم قواعد البيانات. المخاطر المرتبطة: R-019، R-031، R-011. الوثائق المرتبطة: M8. إجراء حذف معتمد يشمل الحذف المنطقي من قواعد البيانات والمسح الآمن من الوسائط وحذف النسخ بعد انتهاء مدة الاحتفاظ، لكن الحذف من النسخ الاحتياطية والأرشيف غير مؤتمت بالكامل. (لم يُحتسب ضمن الضوابط المنفذة في لوحة المعلومات حتى اكتمال التنفيذ وتحقق التدقيق الداخلي من الأدلة)</t>
  </si>
  <si>
    <t>A.8.11 إخفاء البيانات (Data Masking)</t>
  </si>
  <si>
    <t>فجوة G-04: تُستخدم بيانات عملاء حقيقية في بيئات الاختبار، ومستودع البيانات مجهول جزئياً فقط R-015 وR-019.</t>
  </si>
  <si>
    <t>حالة التنفيذ: قيد التنفيذ. المسؤول: رئيس قسم تطوير البرمجيات. المخاطر المرتبطة: R-015، R-019. الوثائق المرتبطة: M8، ISMS-DOC-09-5. بدأ تنفيذ إخفاء البيانات على نسخ مستودع البيانات وإنشاء مجموعة بيانات اختبار اصطناعية (35% منجزة، المستهدف 2026-12-31)؛ لا توجد حالياً أداة إخفاء مؤتمتة على جميع قواعد البيانات. (لم يُحتسب ضمن الضوابط المنفذة في لوحة المعلومات حتى اكتمال التنفيذ وتحقق التدقيق الداخلي من الأدلة)</t>
  </si>
  <si>
    <t>A.8.12 منع تسرب البيانات (DLP)</t>
  </si>
  <si>
    <t>فقد جهاز محمول يحتوي بيانات عملاء (INC-2025-011) والبريد الإلكتروني قناة تسريب محتملة لـ2,500 موظف R-007 وR-019 وR-023.</t>
  </si>
  <si>
    <t>حالة التنفيذ: مخطط له. المسؤول: مدير إدارة أمن المعلومات. المخاطر المرتبطة: R-007، R-019، R-023. الوثائق المرتبطة: G2، ISMS-PERF-09-1. لا يوجد حل DLP حالياً؛ اعتمدت الإدارة العليا توريد الحل ضمن ميزانية 2027 مع بدء التنفيذ في 2027-01 وتغطية البريد والأجهزة الطرفية والشبكة، وتعويضياً طُبّقت ضوابط التشفير وسياسة منع التخزين المحلي. (لم يُحتسب ضمن الضوابط المنفذة في لوحة المعلومات حتى اكتمال التنفيذ وتحقق التدقيق الداخلي من الأدلة)</t>
  </si>
  <si>
    <t>A.8.13 النسخ الاحتياطي للمعلومات</t>
  </si>
  <si>
    <t>متطلب ساما وشرط لاستعادة العمليات بعد الفدية أو الكوارث؛ قواعد بيانات العملاء والمعاملات لا تُحتمل خسارة R-001 وR-011 وR-031.</t>
  </si>
  <si>
    <t>حالة التنفيذ: مطبق جزئياً. المسؤول: مدير قسم البنية التحتية والشبكات. المخاطر المرتبطة: R-011، R-001، R-031. الوثائق المرتبطة: M8، G12. نسخ يومي كامل عبر Veritas NetBackup مع نسخ معاملات (Transaction Logs) كل 15 دقيقة ونقل أشرطة أسبوعي إلى جدة ونسبة نجاح 97%؛ العزل عن الشبكة (Immutable) واختبارات الاستعادة الربع سنوية قيد التنفيذ. (لم يُحتسب ضمن الضوابط المنفذة في لوحة المعلومات حتى اكتمال التنفيذ وتحقق التدقيق الداخلي من الأدلة)</t>
  </si>
  <si>
    <t>A.8.14 التكرارية في مرافق معالجة المعلومات</t>
  </si>
  <si>
    <t>الخدمات المصرفية الرقمية ونظام الدفعات الفورية تعمل 24/7 وتتطلب توافراً عالياً؛ انقطاع 3 ساعات سابقاً سبّب أزمة R-012 وR-009 وR-021.</t>
  </si>
  <si>
    <t>حالة التنفيذ: مطبق جزئياً. المسؤول: مدير إدارة تقنية المعلومات. المخاطر المرتبطة: R-012، R-021، R-011. الوثائق المرتبطة: G12، M8. جدار حماية بتكوين عالي التوفر، وخوادم قواعد بيانات عنقودية، وروابط اتصال مزدوجة، ومركز تعافٍ في جدة، وUPS ومولدات؛ اختبار الانتقال الكامل لمركز التعافي مجدول في 2026-11 ولم يُنفذ منذ أكثر من سنة. (لم يُحتسب ضمن الضوابط المنفذة في لوحة المعلومات حتى اكتمال التنفيذ وتحقق التدقيق الداخلي من الأدلة)</t>
  </si>
  <si>
    <t>A.8.15 تسجيل الأحداث (Logging)</t>
  </si>
  <si>
    <t>السجلات أساس الكشف والتحقيق وجمع الأدلة؛ دراسة الحالة تظهر تأخر اكتشاف الحوادث (45 دقيقة إلى ساعتين) R-024 وR-017 وR-016.</t>
  </si>
  <si>
    <t>حالة التنفيذ: مطبق جزئياً. المسؤول: فريق العمليات الأمنية (SOC). المخاطر المرتبطة: R-024، R-016، R-002. الوثائق المرتبطة: M8، ISMS-DOC-A05-26-1. خادم Syslog مركزي يجمع سجلات أجهزة الشبكة والخوادم والتطبيقات مع حفظ سنة قابلة للاستعلام و5 سنوات مؤرشفة ومزامنة زمنية عبر NTP؛ تغطية المصادر غير مكتملة ولا توجد حماية كافية للسجلات من التعديل. (لم يُحتسب ضمن الضوابط المنفذة في لوحة المعلومات حتى اكتمال التنفيذ وتحقق التدقيق الداخلي من الأدلة)</t>
  </si>
  <si>
    <t>A.8.16 أنشطة المراقبة</t>
  </si>
  <si>
    <t>فجوة G-05: لا يوجد SIEM والتحليل يدوي، مما يرفع زمن الاكتشاف ويُضعف الاستجابة؛ هذا أحد أكبر أوجه القصور في النظام R-024 وR-001 وR-010.</t>
  </si>
  <si>
    <t>حالة التنفيذ: مخطط له. المسؤول: مدير إدارة أمن المعلومات. المخاطر المرتبطة: R-024، R-001، R-010. الوثائق المرتبطة: G2، ISMS-PERF-09-1، ISMS-DOC-09-5. المراقبة الحالية يدوية عبر SOC (8 محللين) مع تنبيهات IDS/IPS ومكافحة الفيروسات وكشف الاحتيال؛ مشروع SIEM معتمد بميزانية 2.6 مليون ريال والتشغيل المستهدف 2027-03-31 مع 25 حالة استخدام للكشف. (لم يُحتسب ضمن الضوابط المنفذة في لوحة المعلومات حتى اكتمال التنفيذ وتحقق التدقيق الداخلي من الأدلة)</t>
  </si>
  <si>
    <t>A.8.17 مزامنة الساعة</t>
  </si>
  <si>
    <t>دقة الطوابع الزمنية شرط لصحة السجلات والأدلة الرقمية وربط الأحداث بين الأنظمة والجهات الرقابية R-024 وR-016.</t>
  </si>
  <si>
    <t>حالة التنفيذ: مطبق بالكامل. المسؤول: مدير قسم البنية التحتية والشبكات. المخاطر المرتبطة: R-024، R-016. الوثائق المرتبطة: M8، R9. جميع الخوادم وأجهزة الشبكة مزامَنة مع خادمَي NTP داخليين مرتبطين بمصدر زمني موثوق، ويُتحقق من الانحراف أسبوعياً ضمن جداول المراقبة.</t>
  </si>
  <si>
    <t>A.8.18 استخدام البرامج الإدارية المميّزة</t>
  </si>
  <si>
    <t>البرامج الإدارية (أدوات قواعد البيانات، PowerShell، أدوات الشبكة) قد تُساء استخدامها لتجاوز الضوابط، ومرتبطة بمشاركة كلمات المرور R-005 وR-016.</t>
  </si>
  <si>
    <t>حالة التنفيذ: مطبق جزئياً. المسؤول: مدير إدارة تقنية المعلومات. المخاطر المرتبطة: R-005، R-016. الوثائق المرتبطة: R9، M8. البرامج المميّزة مقيدة على حسابات إدارية محددة ومسجلة في قائمة معتمدة، لكن غياب PAM يعني عدم تسجيل كافٍ لجلسات استخدامها؛ سيُستكمل مع تنفيذ PAM في 2027-01-31. (لم يُحتسب ضمن الضوابط المنفذة في لوحة المعلومات حتى اكتمال التنفيذ وتحقق التدقيق الداخلي من الأدلة)</t>
  </si>
  <si>
    <t>A.8.19 تثبيت البرمجيات على الأنظمة التشغيلية</t>
  </si>
  <si>
    <t>2,500 جهاز طرفي و200+ خادم تتطلب ضوابط تثبيت لمنع البرمجيات غير المرخصة والملوثة R-028 وR-001 وR-032.</t>
  </si>
  <si>
    <t>حالة التنفيذ: مطبق بالكامل. المسؤول: مدير قسم الدعم الفني. المخاطر المرتبطة: R-028، R-001. الوثائق المرتبطة: R9، ISMS-DOC-A05-10-1. التثبيت يتم عبر Intune وSCCM بقائمة برمجيات معتمدة، وصلاحيات التثبيت المحلي ممنوعة على أجهزة الموظفين، وأي استثناء يُعتمد من CIO ويُسجل ضمن سجل الاستثناءات.</t>
  </si>
  <si>
    <t>A.8.20 أمن الشبكات</t>
  </si>
  <si>
    <t>شبكة البنك تربط المقر و25 فرعاً ومركز التعافي وشبكة المدفوعات وساما؛ تغيير خاطئ في جدار الحماية سبّب انقطاعاً كاملاً R-009 وR-010 وR-021.</t>
  </si>
  <si>
    <t>حالة التنفيذ: مطبق بالكامل. المسؤول: مدير قسم البنية التحتية والشبكات. المخاطر المرتبطة: R-009، R-010، R-021. الوثائق المرتبطة: M8، R9، G12. جدار حماية Palo Alto بفحص عميق للحزم، وIDS/IPS، وتجزئة شبكية (DMZ، شبكة المدفوعات، بيئات التطوير)، ومراجعة ربع سنوية لقواعد جدار التنظيف، واعتماد مراجعة ثنائية وخطة تراجع لأي تغيير.</t>
  </si>
  <si>
    <t>A.8.21 أمن خدمات الشبكة</t>
  </si>
  <si>
    <t>البنك يعتمد على خدمات شبكة مقدمة من مزودين (STC، AWS) وعلى خطوط مؤمنة مع شبكة المدفوعات وساما R-021 وR-014 وR-010.</t>
  </si>
  <si>
    <t>حالة التنفيذ: مطبق بالكامل. المسؤول: مدير قسم البنية التحتية والشبكات. المخاطر المرتبطة: R-021، R-014، R-010. الوثائق المرتبطة: M8، G12. اتفاقيات مستوى خدمة تتضمن متطلبات أمنية، وتشفير للاتصالات الحساسة، ومراقبة أداء الروابط، وخطة تحويل احتياطي مع مودمات وروابط مزدوجة، ومتابعة شهرية لأداء الموردين.</t>
  </si>
  <si>
    <t>A.8.22 تجزئة الشبكات</t>
  </si>
  <si>
    <t>فصل بيئات التطوير والاختبار والإنتاج غير كافٍ (G-04) والشبكة الداخلية تضم أنظمة حرجة وأنظمة موروث R-015 وR-029 وR-028.</t>
  </si>
  <si>
    <t>حالة التنفيذ: مطبق جزئياً. المسؤول: رئيس قسم تطوير البرمجيات. المخاطر المرتبطة: R-015، R-029، R-028. الوثائق المرتبطة: M8، R9. توجد تجزئة بين DMZ والشبكة الداخلية وشبكة المدفوعات، والفصل بين بيئات التطوير والاختبار والإنتاج منطقي أكثر منه شبكي؛ الفصل الشبكي الكامل وعزل شبكة الموردين (Vendor VLAN) ضمن خطة 2026-12-31. (لم يُحتسب ضمن الضوابط المنفذة في لوحة المعلومات حتى اكتمال التنفيذ وتحقق التدقيق الداخلي من الأدلة)</t>
  </si>
  <si>
    <t>A.8.23 تصفية الويب</t>
  </si>
  <si>
    <t>2,500 موظف يتصفحون الإنترنت، والتصيد والمواقع الخبيثة أبرز vectors الإصابة؛ محاكاة التصيد أظهرت قابلية الموظفين للنقر R-002 وR-001.</t>
  </si>
  <si>
    <t>حالة التنفيذ: مطبق جزئياً. المسؤول: فريق العمليات الأمنية (SOC). المخاطر المرتبطة: R-002، R-001. الوثائق المرتبطة: R9، M8. تصفية عبر جدار الحماية وبوابة البريد لحظر الفئات عالية الخطورة والمواقع المعروفة بالخباثة، لكن قوائم الحظر لا تُحدَّث بمصادر معلومات تهديدات خارجية بشكل آلي بعد (مرتبط بمشروع SIEM). (لم يُحتسب ضمن الضوابط المنفذة في لوحة المعلومات حتى اكتمال التنفيذ وتحقق التدقيق الداخلي من الأدلة)</t>
  </si>
  <si>
    <t>A.8.24 استخدام التشفير</t>
  </si>
  <si>
    <t>بيانات عملاء شخصية ومالية وبيومترية وشهادات رقمية؛ متطلبات ساما ونظام حماية البيانات الشخصية وPCI DSS تلزم بالتشفير R-019 وR-025 وR-007 وR-008.</t>
  </si>
  <si>
    <t>حالة التنفيذ: مطبق جزئياً. المسؤول: مدير إدارة أمن المعلومات. المخاطر المرتبطة: R-008، R-019، R-025، R-007. الوثائق المرتبطة: M8، R9، ISMS-DOC-04-1. TLS 1.2+ لجميع الاتصالات الخارجية، وتشفير قواعد البيانات الحساسة والوحدات البيومترية، وBitLocker على 92% من الأجهزة، وتشفير الأشرطة؛ سياسة التشفير وإدارة المفاتيح الموحدة (KMS) قيد الاعتماد. (لم يُحتسب ضمن الضوابط المنفذة في لوحة المعلومات حتى اكتمال التنفيذ وتحقق التدقيق الداخلي من الأدلة)</t>
  </si>
  <si>
    <t>A.8.25 دورة حياة التطوير الآمن</t>
  </si>
  <si>
    <t>25 مطوراً لتطوير تطبيق آفاق بلس وآفاق نت، مع مشاركة شركة خارجية؛ ثغرات حقن SQL في التطبيق تؤكد الحاجة لـSDLC آمن R-003 وR-029.</t>
  </si>
  <si>
    <t>حالة التنفيذ: مطبق جزئياً. المسؤول: رئيس قسم تطوير البرمجيات. المخاطر المرتبطة: R-003، R-029، R-013. الوثائق المرتبطة: M8. توجد دورة تطوير موثقة مع مراجعة كود واختبار قبول، وأُضيفت متطلبات أمنية في مرحلة التصميم؛ تطبيق SAST/DAST وبوابة أمان إلزامية قبل النشر قيد التنفيذ حتى 2026-10-15. (لم يُحتسب ضمن الضوابط المنفذة في لوحة المعلومات حتى اكتمال التنفيذ وتحقق التدقيق الداخلي من الأدلة)</t>
  </si>
  <si>
    <t>A.8.26 متطلبات أمن التطبيقات</t>
  </si>
  <si>
    <t>التطبيقات المصرفية مكشوفة لأكثر من 500,000 عميل وثغرات المدخلات هي الأعلى خطورة في آخر فحص R-003 وR-004 وR-022.</t>
  </si>
  <si>
    <t>حالة التنفيذ: مطبق جزئياً. المسؤول: مدير قسم التطبيقات المصرفية. المخاطر المرتبطة: R-003، R-004، R-013. الوثائق المرتبطة: M8، ISMS-DOC-05-4. متطلبات أمنية معتمدة للتطبيقات الجديدة (مصادقة، جلسات، تسجيل أحداث، تحقق من المدخلات، تشفير)، وتُزوَّد الشركة الخارجية بها تعاقدياً؛ التحقق المنهجي من تطبيقها عبر بوابة أمان آلية ما زال قيد التنفيذ. (لم يُحتسب ضمن الضوابط المنفذة في لوحة المعلومات حتى اكتمال التنفيذ وتحقق التدقيق الداخلي من الأدلة)</t>
  </si>
  <si>
    <t>A.8.27 مبادئ هندسة ومعمارية الأنظمة الآمنة</t>
  </si>
  <si>
    <t>البيئة التقنية معقدة (عنقودية، افتراضية، سحابية، فروع) وتتطلب مبادئ معمارية آمنة (الدفاع بالعمق، أقل امتياز) R-029 وR-015 وR-014.</t>
  </si>
  <si>
    <t>حالة التنفيذ: مطبق جزئياً. المسؤول: مدير إدارة تقنية المعلومات. المخاطر المرتبطة: R-029، R-014، R-010. الوثائق المرتبطة: M8. مبادئ معمارية معتمدة تشمل التجزئة والدفاع بالعمق وأقل امتياز وZero Trust جزئياً للوصول عن بُعد، لكن لا توجد مراجعة معمارية أمنية إلزامية لكل مشروع جديد. (لم يُحتسب ضمن الضوابط المنفذة في لوحة المعلومات حتى اكتمال التنفيذ وتحقق التدقيق الداخلي من الأدلة)</t>
  </si>
  <si>
    <t>A.8.28 الترميز الآمن</t>
  </si>
  <si>
    <t>3 ثغرات عالية في آفاق بلس سببها عدم كفاية التحقق من صحة المدخلات بما يسمح بحقن SQL؛ هذا دليل مباشر على ضعف ممارسات الترميز R-003.</t>
  </si>
  <si>
    <t>حالة التنفيذ: مطبق جزئياً. المسؤول: رئيس قسم تطوير البرمجيات. المخاطر المرتبطة: R-003، R-013. الوثائق المرتبطة: M8، G2. دليل ترميز آمن معتمد ومكتبة تحقق موحدة من المدخلات قيد التعميم، وتدريب 25 مطوراً على OWASP Top 10 بدأ 2026-07؛ مراجعة الكود الأمنية الإلزامية قبل الدمج تُطبق جزئياً. (لم يُحتسب ضمن الضوابط المنفذة في لوحة المعلومات حتى اكتمال التنفيذ وتحقق التدقيق الداخلي من الأدلة)</t>
  </si>
  <si>
    <t>A.8.29 اختبارات الأمان في التطوير والقبول</t>
  </si>
  <si>
    <t>اختبارات الأمان غير كافية قبل النشر بدليل بقاء ثغرات عالية ومتوسطة في الإنتاج R-003 وR-004 وR-029.</t>
  </si>
  <si>
    <t>حالة التنفيذ: مطبق جزئياً. المسؤول: فريق تقييم المخاطر والثغرات. المخاطر المرتبطة: R-003، R-004، R-029. الوثائق المرتبطة: M8. اختبار اختراق سنوي خارجي وفحص ربع سنوي للثغرات واختبار قبول وظيفي؛ الاختبار الأمني الآلي ضمن خط CI/CD واختبار DAST قبل كل إصدار رئيس قيد التنفيذ حتى 2026-10-15. (لم يُحتسب ضمن الضوابط المنفذة في لوحة المعلومات حتى اكتمال التنفيذ وتحقق التدقيق الداخلي من الأدلة)</t>
  </si>
  <si>
    <t>A.8.30 التطوير المُستعان به من الخارج</t>
  </si>
  <si>
    <t>جزء من تطبيق آفاق بلس طُوّر عبر شركة خارجية لديها وصول إلى الكود المصدري وبيئة الاختبار؛ مخاطر سلسلة التوريد R-013 وR-023.</t>
  </si>
  <si>
    <t>حالة التنفيذ: مطبق جزئياً. المسؤول: مدير قسم التطبيقات المصرفية. المخاطر المرتبطة: R-013، R-023، R-015. الوثائق المرتبطة: M8، ISMS-DOC-04-1. عقد وسرية مع الشركة المطورة ومراجعة كود داخلية قبل الدمج وحسابات مخصصة في GitLab؛ المتطلبات الأمنية التعاقدية المفصلة والتقييم الأمني للمورد وتقييد الوصول بـMFA قيد التنفيذ حتى 2026-11-30. (لم يُحتسب ضمن الضوابط المنفذة في لوحة المعلومات حتى اكتمال التنفيذ وتحقق التدقيق الداخلي من الأدلة)</t>
  </si>
  <si>
    <t>A.8.31 فصل بيئات التطوير والاختبار والإنتاج</t>
  </si>
  <si>
    <t>فجوة G-04: البيئات مفصولة منطقياً على VMware لكن الفصل غير كافٍ، وتُستخدم بيانات حقيقية في الاختبار R-015 وR-029.</t>
  </si>
  <si>
    <t>حالة التنفيذ: قيد التنفيذ. المسؤول: رئيس قسم تطوير البرمجيات. المخاطر المرتبطة: R-015، R-029. الوثائق المرتبطة: M8، ISMS-DOC-09-5. خوادم افتراضية منفصلة لكل بيئة مع صلاحيات مختلفة؛ يجري تنفيذ فصل شبكي كامل بقواعد جدار حماية صارمة ومنع تقني لنسخ بيانات الإنتاج إلى البيئات الأدنى (35% منجزة، المستهدف 2026-12-31). (لم يُحتسب ضمن الضوابط المنفذة في لوحة المعلومات حتى اكتمال التنفيذ وتحقق التدقيق الداخلي من الأدلة)</t>
  </si>
  <si>
    <t>A.8.32 إدارة التغيير</t>
  </si>
  <si>
    <t>حادثة INC-2024-001 نتجت عن تغيير غير مُراجع على جدار الحماية ألغى قاعدة أساسية وأوقف الخدمات 3 ساعات R-009 وR-029.</t>
  </si>
  <si>
    <t>حالة التنفيذ: مطبق جزئياً. المسؤول: مدير إدارة تقنية المعلومات. المخاطر المرتبطة: R-009، R-029، R-008. الوثائق المرتبطة: M8، G12. إجراء إدارة التغيير معتمد عبر Jira مع لجنة استشارية للتغيير (CAB) ونوافذ تغيير خارج الذروة وخطة تراجع إلزامية ومراجعة ثنائية للتغييرات الحرجة؛ الالتزام الكامل بجميع الفرق ما زال قيد التحقق. (لم يُحتسب ضمن الضوابط المنفذة في لوحة المعلومات حتى اكتمال التنفيذ وتحقق التدقيق الداخلي من الأدلة)</t>
  </si>
  <si>
    <t>A.8.33 معلومات الاختبار</t>
  </si>
  <si>
    <t>فجوة G-04: استخدام بيانات عملاء حقيقية في بيئة الاختبار يعرّض بيانات شخصية لبيئة أقل حماية ويخالف نظام حماية البيانات الشخصية R-015 وR-019.</t>
  </si>
  <si>
    <t>حالة التنفيذ: غير مطبق. المسؤول: رئيس قسم تطوير البرمجيات. المخاطر المرتبطة: R-015، R-019. الوثائق المرتبطة: M8، ISMS-DOC-09-5. لا توجد حالياً بيانات اختبار اصطناعية أو آلية إخفاء معتمدة؛ خطة المعالجة (خيار التجنب) تشمل إنشاء مجموعة بيانات اصطناعية وحظراً تقنياً على نسخ بيانات الإنتاج، والمستهدف 2026-12-31. سجّلت كأهم حالات عدم المطابقة (NC-03). (لم يُحتسب ضمن الضوابط المنفذة في لوحة المعلومات حتى اكتمال التنفيذ وتحقق التدقيق الداخلي من الأدلة)</t>
  </si>
  <si>
    <t>A.8.34 حماية أنظمة المعلومات أثناء اختبارات التدقيق</t>
  </si>
  <si>
    <t>التدقيق الداخلي واختبارات الاختراق والفحوصات قد تؤثر على الأنظمة الإنتاجية الحساسة وتكشف ثغراتها R-003 وR-013.</t>
  </si>
  <si>
    <t>حالة التنفيذ: مطبق بالكامل. المسؤول: مدير إدارة المراجعة الداخلية. المخاطر المرتبطة: R-003، R-013. الوثائق المرتبطة: ISMS-DOC-09-5، M8. اختبارات الاختراق تُنفذ في نوافذ زمنية معتمدة وبموافقة كتابية وبتنسيق مع SOC، والمدققون الداخليون يملكون وصول قراءة فقط مسجلاً، ونتائج الاختبارات تُصنف سري للغاية وتُحفظ في مكتبة مقيدة.</t>
  </si>
  <si>
    <t>لوحة معلومات بيان قابلية التطبيق وفق ISO/IEC 27001:2022 - بنك الآفاق الرقمية</t>
  </si>
  <si>
    <t>لتحديث بيانات الرسوم البيانية: اضغط «تحديث الكل» (Refresh All) من شريط البيانات، أو أعد حساب المصنف بـ Ctrl+Alt+F9.</t>
  </si>
  <si>
    <t>نتائج بيان قابلية التطبيق</t>
  </si>
  <si>
    <t>مجال المعيار</t>
  </si>
  <si>
    <t>عدد الضوابط</t>
  </si>
  <si>
    <t>الضوابط القابلة للتطبيق</t>
  </si>
  <si>
    <t>نسبة الضوابط القابلة للتطبيق</t>
  </si>
  <si>
    <t>الضوابط المنفذة</t>
  </si>
  <si>
    <t>نسبة تنفيذ الضوابط القابلة للتطبيق</t>
  </si>
  <si>
    <t>مخطط رادار لنسبة الضوابط القابلة للتطبيق والمنفذة في الملحق A من ISO/IEC 27001</t>
  </si>
  <si>
    <t>الإجمالي</t>
  </si>
  <si>
    <t>عدد الضوابط القابلة للتطبيق والمنفذة في الملحق A من ISO/IEC 27001</t>
  </si>
  <si>
    <t>نسبة الضوابط القابلة للتطبيق والمنفذة في الملحق A من ISO/IEC 27001</t>
  </si>
  <si>
    <t>نتائج بيان قابلية التطبيق وفق ISO/IEC 27001:2022 - بنك الآفاق الرقمية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</si>
</sst>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b/>
      <sz val="15"/>
      <color theme="3"/>
      <name val="Calibri"/>
      <family val="2"/>
      <scheme val="minor"/>
    </font>
    <font>
      <b/>
      <sz val="13"/>
      <color theme="3"/>
      <name val="Calibri"/>
      <family val="2"/>
      <scheme val="minor"/>
    </font>
    <font>
      <b/>
      <sz val="11"/>
      <color theme="0"/>
      <name val="Calibri"/>
      <family val="2"/>
      <scheme val="minor"/>
    </font>
    <font>
      <b/>
      <sz val="11"/>
      <color rgb="FFFFFFFF"/>
      <name val="Calibri"/>
      <family val="2"/>
      <scheme val="minor"/>
    </font>
    <font>
      <sz val="11"/>
      <color rgb="FF444444"/>
      <name val="Calibri"/>
      <family val="2"/>
      <scheme val="minor"/>
    </font>
    <font>
      <i/>
      <sz val="11"/>
      <color rgb="FF444444"/>
      <name val="Calibri"/>
      <family val="2"/>
      <scheme val="minor"/>
    </font>
    <font>
      <b/>
      <sz val="11"/>
      <color rgb="FF444444"/>
      <name val="Calibri"/>
      <family val="2"/>
      <scheme val="minor"/>
    </font>
    <font>
      <b/>
      <sz val="11"/>
      <color theme="1"/>
      <name val="Calibri"/>
      <family val="2"/>
      <scheme val="minor"/>
    </font>
    <font>
      <b/>
      <sz val="16"/>
      <color theme="1"/>
      <name val="Calibri"/>
      <family val="2"/>
      <scheme val="minor"/>
    </font>
    <font>
      <b/>
      <sz val="12"/>
      <color rgb="FF444444"/>
      <name val="Calibri"/>
      <family val="2"/>
      <scheme val="minor"/>
    </font>
    <font>
      <sz val="11"/>
      <color theme="1"/>
      <name val="Calibri"/>
      <family val="2"/>
      <scheme val="minor"/>
    </font>
    <font>
      <b/>
      <sz val="14"/>
      <color rgb="FF444444"/>
      <name val="Calibri"/>
      <family val="2"/>
      <scheme val="minor"/>
    </font>
    <font>
      <b/>
      <sz val="14"/>
      <color theme="1"/>
      <name val="Calibri"/>
      <family val="2"/>
      <scheme val="minor"/>
    </font>
    <font>
      <sz val="11"/>
      <color theme="0"/>
      <name val="Calibri"/>
      <family val="2"/>
      <scheme val="minor"/>
    </font>
    <font>
      <b/>
      <sz val="14"/>
      <color theme="0"/>
      <name val="Calibri"/>
      <family val="2"/>
      <scheme val="minor"/>
    </font>
    <font>
      <sz val="8"/>
      <name val="Calibri"/>
      <family val="2"/>
      <scheme val="minor"/>
    </font>
    <font>
      <sz val="12"/>
      <color rgb="FF444444"/>
      <name val="Calibri"/>
      <family val="2"/>
      <scheme val="minor"/>
    </font>
  </fonts>
  <fills count="4">
    <fill>
      <patternFill patternType="none"/>
    </fill>
    <fill>
      <patternFill patternType="gray125"/>
    </fill>
    <fill>
      <patternFill patternType="solid">
        <fgColor theme="2" tint="-0.499984740745262"/>
        <bgColor indexed="64"/>
      </patternFill>
    </fill>
    <fill>
      <patternFill patternType="solid">
        <fgColor theme="2"/>
        <bgColor indexed="64"/>
      </patternFill>
    </fill>
  </fills>
  <borders count="5">
    <border>
      <left/>
      <right/>
      <top/>
      <bottom/>
      <diagonal/>
    </border>
    <border>
      <left/>
      <right/>
      <top/>
      <bottom style="thick">
        <color theme="4"/>
      </bottom>
      <diagonal/>
    </border>
    <border>
      <left/>
      <right/>
      <top/>
      <bottom style="thick">
        <color theme="4" tint="0.499984740745262"/>
      </bottom>
      <diagonal/>
    </border>
    <border>
      <left/>
      <right/>
      <top/>
      <bottom style="thick">
        <color theme="2"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9" fontId="11" fillId="0" borderId="0" applyFont="0" applyFill="0" applyBorder="0" applyAlignment="0" applyProtection="0"/>
  </cellStyleXfs>
  <cellXfs count="72">
    <xf numFmtId="0" fontId="0" fillId="0" borderId="0" xfId="0"/>
    <xf numFmtId="0" fontId="5" fillId="0" borderId="0" xfId="0" applyFont="1" applyAlignment="1">
      <alignment vertical="top" wrapText="1"/>
    </xf>
    <xf numFmtId="0" fontId="5" fillId="0" borderId="0" xfId="0" applyFont="1" applyAlignment="1">
      <alignment vertical="top"/>
    </xf>
    <xf numFmtId="0" fontId="5" fillId="0" borderId="0" xfId="0" applyFont="1" applyAlignment="1">
      <alignment horizontal="right" vertical="top"/>
    </xf>
    <xf numFmtId="0" fontId="5" fillId="0" borderId="0" xfId="0" applyFont="1" applyAlignment="1">
      <alignment horizontal="left" vertical="top"/>
    </xf>
    <xf numFmtId="0" fontId="9" fillId="0" borderId="0" xfId="0" applyFont="1" applyAlignment="1">
      <alignment vertical="top"/>
    </xf>
    <xf numFmtId="0" fontId="0" fillId="0" borderId="0" xfId="0" applyAlignment="1">
      <alignment vertical="top"/>
    </xf>
    <xf numFmtId="0" fontId="8" fillId="3" borderId="4" xfId="0" applyFont="1" applyFill="1" applyBorder="1" applyAlignment="1">
      <alignment vertical="top" wrapText="1"/>
    </xf>
    <xf numFmtId="0" fontId="0" fillId="0" borderId="4" xfId="0" applyBorder="1" applyAlignment="1">
      <alignment vertical="top" wrapText="1"/>
    </xf>
    <xf numFmtId="0" fontId="5" fillId="0" borderId="0" xfId="0" applyFont="1" applyAlignment="1">
      <alignment horizontal="right" vertical="top" wrapText="1"/>
    </xf>
    <xf numFmtId="0" fontId="5" fillId="0" borderId="0" xfId="0" applyFont="1" applyAlignment="1">
      <alignment horizontal="left" vertical="top" wrapText="1"/>
    </xf>
    <xf numFmtId="0" fontId="7" fillId="3" borderId="0" xfId="0" applyFont="1" applyFill="1" applyAlignment="1">
      <alignment horizontal="right" vertical="top" wrapText="1"/>
    </xf>
    <xf numFmtId="0" fontId="5" fillId="0" borderId="0" xfId="0" applyFont="1" applyAlignment="1">
      <alignment horizontal="center" vertical="top"/>
    </xf>
    <xf numFmtId="0" fontId="0" fillId="0" borderId="0" xfId="0" applyAlignment="1">
      <alignment horizontal="left" vertical="top"/>
    </xf>
    <xf numFmtId="0" fontId="0" fillId="0" borderId="0" xfId="0" applyAlignment="1">
      <alignment horizontal="left" vertical="top" wrapText="1"/>
    </xf>
    <xf numFmtId="0" fontId="13" fillId="0" borderId="0" xfId="0" applyFont="1" applyAlignment="1">
      <alignment horizontal="left" vertical="top"/>
    </xf>
    <xf numFmtId="0" fontId="7" fillId="0" borderId="0" xfId="0" applyFont="1" applyAlignment="1">
      <alignment horizontal="left" vertical="top" wrapText="1"/>
    </xf>
    <xf numFmtId="0" fontId="7" fillId="0" borderId="0" xfId="0" applyFont="1" applyAlignment="1">
      <alignment horizontal="center" vertical="top"/>
    </xf>
    <xf numFmtId="0" fontId="0" fillId="0" borderId="0" xfId="0" applyAlignment="1">
      <alignment horizontal="center" vertical="top" wrapText="1"/>
    </xf>
    <xf numFmtId="0" fontId="8" fillId="0" borderId="0" xfId="0" applyFont="1" applyAlignment="1">
      <alignment horizontal="center" vertical="top" wrapText="1"/>
    </xf>
    <xf numFmtId="9" fontId="0" fillId="0" borderId="0" xfId="0" applyNumberFormat="1" applyAlignment="1">
      <alignment horizontal="left" vertical="top" wrapText="1"/>
    </xf>
    <xf numFmtId="9" fontId="8" fillId="0" borderId="0" xfId="0" applyNumberFormat="1" applyFont="1" applyAlignment="1">
      <alignment horizontal="left" vertical="top" wrapText="1"/>
    </xf>
    <xf numFmtId="9" fontId="0" fillId="0" borderId="0" xfId="3" applyFont="1" applyAlignment="1">
      <alignment horizontal="center" vertical="top" wrapText="1"/>
    </xf>
    <xf numFmtId="9" fontId="8" fillId="0" borderId="0" xfId="0" applyNumberFormat="1" applyFont="1" applyAlignment="1">
      <alignment horizontal="center" vertical="top" wrapText="1"/>
    </xf>
    <xf numFmtId="0" fontId="14" fillId="0" borderId="0" xfId="0" applyFont="1"/>
    <xf numFmtId="0" fontId="14" fillId="0" borderId="0" xfId="0" applyFont="1" applyAlignment="1">
      <alignment vertical="top"/>
    </xf>
    <xf numFmtId="0" fontId="15" fillId="2" borderId="0" xfId="0" applyFont="1" applyFill="1" applyAlignment="1">
      <alignment vertical="top"/>
    </xf>
    <xf numFmtId="0" fontId="5" fillId="2" borderId="0" xfId="0" applyFont="1" applyFill="1" applyAlignment="1">
      <alignment vertical="top"/>
    </xf>
    <xf numFmtId="9" fontId="5" fillId="0" borderId="0" xfId="0" applyNumberFormat="1" applyFont="1" applyAlignment="1">
      <alignment horizontal="center" vertical="top"/>
    </xf>
    <xf numFmtId="0" fontId="7" fillId="0" borderId="0" xfId="0" applyFont="1" applyAlignment="1">
      <alignment vertical="top" wrapText="1"/>
    </xf>
    <xf numFmtId="9" fontId="7" fillId="0" borderId="0" xfId="0" applyNumberFormat="1" applyFont="1" applyAlignment="1">
      <alignment horizontal="center" vertical="top"/>
    </xf>
    <xf numFmtId="0" fontId="5" fillId="2" borderId="0" xfId="0" applyFont="1" applyFill="1" applyAlignment="1">
      <alignment horizontal="center" vertical="top"/>
    </xf>
    <xf numFmtId="0" fontId="14" fillId="2" borderId="0" xfId="0" applyFont="1" applyFill="1" applyAlignment="1">
      <alignment vertical="top"/>
    </xf>
    <xf numFmtId="0" fontId="14" fillId="2" borderId="0" xfId="0" applyFont="1" applyFill="1" applyAlignment="1">
      <alignment horizontal="left" vertical="top"/>
    </xf>
    <xf numFmtId="0" fontId="0" fillId="0" borderId="0" xfId="0" applyAlignment="1">
      <alignment horizontal="center" vertical="top"/>
    </xf>
    <xf numFmtId="0" fontId="15" fillId="2" borderId="0" xfId="0" applyFont="1" applyFill="1" applyAlignment="1">
      <alignment horizontal="left" vertical="top" readingOrder="1"/>
    </xf>
    <xf numFmtId="0" fontId="0" fillId="0" borderId="0" xfId="0" applyAlignment="1">
      <alignment wrapText="1"/>
    </xf>
    <xf numFmtId="0" fontId="14" fillId="2" borderId="0" xfId="0" applyFont="1" applyFill="1" applyAlignment="1">
      <alignment horizontal="left" vertical="top" wrapText="1"/>
    </xf>
    <xf numFmtId="0" fontId="0" fillId="0" borderId="0" xfId="0" applyAlignment="1">
      <alignment horizontal="left" vertical="center"/>
    </xf>
    <xf numFmtId="0" fontId="0" fillId="0" borderId="0" xfId="0" applyAlignment="1">
      <alignment horizontal="left" vertical="center" wrapText="1"/>
    </xf>
    <xf numFmtId="0" fontId="13" fillId="0" borderId="0" xfId="0" applyFont="1" applyAlignment="1">
      <alignment horizontal="left" vertical="center"/>
    </xf>
    <xf numFmtId="0" fontId="14" fillId="2" borderId="0" xfId="0" applyFont="1" applyFill="1" applyAlignment="1">
      <alignment horizontal="left" vertical="center"/>
    </xf>
    <xf numFmtId="0" fontId="14" fillId="2" borderId="0" xfId="0" applyFont="1" applyFill="1" applyAlignment="1">
      <alignment horizontal="left" vertical="center" wrapText="1"/>
    </xf>
    <xf numFmtId="9" fontId="0" fillId="0" borderId="0" xfId="0" applyNumberFormat="1" applyAlignment="1">
      <alignment horizontal="left" vertical="center" wrapText="1"/>
    </xf>
    <xf numFmtId="9" fontId="0" fillId="0" borderId="0" xfId="0" applyNumberFormat="1" applyAlignment="1">
      <alignment horizontal="left" vertical="center"/>
    </xf>
    <xf numFmtId="0" fontId="15" fillId="0" borderId="0" xfId="0" applyFont="1" applyAlignment="1">
      <alignment horizontal="left" vertical="center" readingOrder="1"/>
    </xf>
    <xf numFmtId="9" fontId="5" fillId="2" borderId="0" xfId="0" applyNumberFormat="1" applyFont="1" applyFill="1" applyAlignment="1">
      <alignment horizontal="center" vertical="top"/>
    </xf>
    <xf numFmtId="0" fontId="3" fillId="0" borderId="0" xfId="0" applyFont="1" applyAlignment="1">
      <alignment vertical="top"/>
    </xf>
    <xf numFmtId="0" fontId="9" fillId="0" borderId="0" xfId="0" applyFont="1"/>
    <xf numFmtId="0" fontId="17" fillId="0" borderId="0" xfId="0" applyFont="1" applyAlignment="1">
      <alignment vertical="top"/>
    </xf>
    <xf numFmtId="0" fontId="13" fillId="0" borderId="0" xfId="0" applyFont="1" applyAlignment="1">
      <alignment vertical="top"/>
    </xf>
    <xf numFmtId="0" fontId="0" fillId="0" borderId="0" xfId="0" applyAlignment="1">
      <alignment horizontal="right" vertical="top"/>
    </xf>
    <xf numFmtId="0" fontId="0" fillId="0" borderId="0" xfId="0" applyAlignment="1">
      <alignment horizontal="right" vertical="top" wrapText="1"/>
    </xf>
    <xf numFmtId="9" fontId="0" fillId="0" borderId="0" xfId="0" applyNumberFormat="1" applyAlignment="1">
      <alignment horizontal="right" vertical="top" wrapText="1"/>
    </xf>
    <xf numFmtId="9" fontId="0" fillId="0" borderId="0" xfId="3" applyFont="1" applyAlignment="1">
      <alignment horizontal="right" vertical="top" wrapText="1"/>
    </xf>
    <xf numFmtId="0" fontId="7" fillId="0" borderId="0" xfId="0" applyFont="1" applyAlignment="1">
      <alignment horizontal="right" vertical="top" wrapText="1"/>
    </xf>
    <xf numFmtId="0" fontId="7" fillId="0" borderId="0" xfId="0" applyFont="1" applyAlignment="1">
      <alignment horizontal="right" vertical="top"/>
    </xf>
    <xf numFmtId="0" fontId="8" fillId="0" borderId="0" xfId="0" applyFont="1" applyAlignment="1">
      <alignment horizontal="right" vertical="top" wrapText="1"/>
    </xf>
    <xf numFmtId="9" fontId="8" fillId="0" borderId="0" xfId="0" applyNumberFormat="1" applyFont="1" applyAlignment="1">
      <alignment horizontal="right" vertical="top" wrapText="1"/>
    </xf>
    <xf numFmtId="0" fontId="10" fillId="0" borderId="0" xfId="0" applyFont="1" applyAlignment="1">
      <alignment horizontal="right" vertical="top" wrapText="1"/>
    </xf>
    <xf numFmtId="0" fontId="9" fillId="0" borderId="0" xfId="0" applyFont="1" applyAlignment="1">
      <alignment horizontal="right" vertical="top"/>
    </xf>
    <xf numFmtId="0" fontId="8" fillId="0" borderId="0" xfId="0" applyFont="1" applyAlignment="1">
      <alignment horizontal="right" vertical="top"/>
    </xf>
    <xf numFmtId="0" fontId="4" fillId="2" borderId="0" xfId="0" applyFont="1" applyFill="1" applyAlignment="1">
      <alignment horizontal="right" vertical="top" wrapText="1"/>
    </xf>
    <xf numFmtId="0" fontId="12" fillId="0" borderId="0" xfId="0" applyFont="1" applyAlignment="1">
      <alignment horizontal="right" vertical="top" wrapText="1"/>
    </xf>
    <xf numFmtId="0" fontId="0" fillId="0" borderId="0" xfId="0" applyAlignment="1" applyProtection="1">
      <alignment horizontal="right" vertical="top"/>
      <protection locked="0"/>
    </xf>
    <xf numFmtId="0" fontId="0" fillId="0" borderId="0" xfId="0" applyAlignment="1">
      <alignment horizontal="right"/>
    </xf>
    <xf numFmtId="0" fontId="5" fillId="3" borderId="0" xfId="0" applyFont="1" applyFill="1" applyAlignment="1">
      <alignment horizontal="right" vertical="top" wrapText="1"/>
    </xf>
    <xf numFmtId="0" fontId="0" fillId="0" borderId="4" xfId="0" applyBorder="1" applyAlignment="1">
      <alignment horizontal="right" vertical="top" wrapText="1"/>
    </xf>
    <xf numFmtId="0" fontId="6" fillId="0" borderId="0" xfId="0" applyFont="1" applyAlignment="1">
      <alignment horizontal="right" vertical="top"/>
    </xf>
    <xf numFmtId="0" fontId="7" fillId="0" borderId="3" xfId="0" applyFont="1" applyBorder="1" applyAlignment="1">
      <alignment horizontal="right" vertical="top" wrapText="1"/>
    </xf>
    <xf numFmtId="0" fontId="5" fillId="0" borderId="0" xfId="0" applyFont="1" applyAlignment="1">
      <alignment horizontal="right" vertical="top" wrapText="1" readingOrder="2"/>
    </xf>
    <xf numFmtId="0" fontId="0" fillId="0" borderId="0" xfId="0" applyNumberFormat="1" applyAlignment="1">
      <alignment horizontal="center" vertical="top"/>
    </xf>
  </cellXfs>
  <cellStyles count="4">
    <cellStyle name="Heading 1" xfId="1" builtinId="16" customBuiltin="1"/>
    <cellStyle name="Heading 2" xfId="2" builtinId="17" customBuiltin="1"/>
    <cellStyle name="Normal" xfId="0" builtinId="0"/>
    <cellStyle name="Percent" xfId="3" builtinId="5"/>
  </cellStyles>
  <dxfs count="90">
    <dxf>
      <font>
        <color theme="0"/>
      </font>
    </dxf>
    <dxf>
      <font>
        <color theme="0"/>
      </font>
    </dxf>
    <dxf>
      <fill>
        <patternFill patternType="solid">
          <bgColor theme="2" tint="-0.499984740745262"/>
        </patternFill>
      </fill>
    </dxf>
    <dxf>
      <fill>
        <patternFill patternType="solid">
          <bgColor theme="2" tint="-0.499984740745262"/>
        </patternFill>
      </fill>
    </dxf>
    <dxf>
      <alignment vertical="top"/>
    </dxf>
    <dxf>
      <alignment vertical="top"/>
    </dxf>
    <dxf>
      <alignment wrapText="1"/>
    </dxf>
    <dxf>
      <numFmt numFmtId="13" formatCode="0%"/>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wrapText="1"/>
    </dxf>
    <dxf>
      <alignment wrapText="1"/>
    </dxf>
    <dxf>
      <font>
        <color theme="0"/>
      </font>
    </dxf>
    <dxf>
      <font>
        <color theme="0"/>
      </font>
    </dxf>
    <dxf>
      <fill>
        <patternFill patternType="solid">
          <bgColor theme="2" tint="-0.499984740745262"/>
        </patternFill>
      </fill>
    </dxf>
    <dxf>
      <fill>
        <patternFill patternType="solid">
          <bgColor theme="2" tint="-0.499984740745262"/>
        </patternFill>
      </fill>
    </dxf>
    <dxf>
      <alignment horizontal="left"/>
    </dxf>
    <dxf>
      <alignment horizontal="left"/>
    </dxf>
    <dxf>
      <alignment horizontal="center"/>
    </dxf>
    <dxf>
      <alignment horizontal="left"/>
    </dxf>
    <dxf>
      <alignment horizontal="left"/>
    </dxf>
    <dxf>
      <alignment vertical="top"/>
    </dxf>
    <dxf>
      <alignment vertical="top"/>
    </dxf>
    <dxf>
      <alignment vertical="top"/>
    </dxf>
    <dxf>
      <alignment vertical="top"/>
    </dxf>
    <dxf>
      <alignment vertical="top"/>
    </dxf>
    <dxf>
      <font>
        <color theme="0"/>
      </font>
    </dxf>
    <dxf>
      <font>
        <color theme="0"/>
      </font>
    </dxf>
    <dxf>
      <font>
        <color theme="0"/>
      </font>
    </dxf>
    <dxf>
      <fill>
        <patternFill>
          <bgColor theme="2" tint="-0.499984740745262"/>
        </patternFill>
      </fill>
    </dxf>
    <dxf>
      <fill>
        <patternFill>
          <bgColor theme="2" tint="-0.499984740745262"/>
        </patternFill>
      </fill>
    </dxf>
    <dxf>
      <fill>
        <patternFill>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ont>
        <b/>
        <i val="0"/>
        <strike val="0"/>
        <condense val="0"/>
        <extend val="0"/>
        <outline val="0"/>
        <shadow val="0"/>
        <u val="none"/>
        <vertAlign val="baseline"/>
        <sz val="11"/>
        <color theme="1"/>
        <name val="Calibri"/>
        <family val="2"/>
        <scheme val="minor"/>
      </font>
      <numFmt numFmtId="13" formatCode="0%"/>
      <alignment horizontal="center" vertical="top" textRotation="0" wrapText="1" indent="0" justifyLastLine="0" shrinkToFit="0" readingOrder="0"/>
    </dxf>
    <dxf>
      <alignment horizontal="center" vertical="top"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dxf>
    <dxf>
      <alignment horizontal="center" vertical="top" textRotation="0" wrapText="1" indent="0" justifyLastLine="0" shrinkToFit="0" readingOrder="0"/>
    </dxf>
    <dxf>
      <font>
        <b/>
        <i val="0"/>
        <strike val="0"/>
        <condense val="0"/>
        <extend val="0"/>
        <outline val="0"/>
        <shadow val="0"/>
        <u val="none"/>
        <vertAlign val="baseline"/>
        <sz val="11"/>
        <color theme="1"/>
        <name val="Calibri"/>
        <family val="2"/>
        <scheme val="minor"/>
      </font>
      <numFmt numFmtId="13" formatCode="0%"/>
      <alignment horizontal="left" vertical="top" textRotation="0" wrapText="1" indent="0" justifyLastLine="0" shrinkToFit="0" readingOrder="0"/>
    </dxf>
    <dxf>
      <alignment horizontal="left" vertical="top"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dxf>
    <dxf>
      <alignment horizontal="center" vertical="top" textRotation="0" wrapText="1" indent="0" justifyLastLine="0" shrinkToFit="0" readingOrder="0"/>
    </dxf>
    <dxf>
      <font>
        <b/>
        <i val="0"/>
        <strike val="0"/>
        <condense val="0"/>
        <extend val="0"/>
        <outline val="0"/>
        <shadow val="0"/>
        <u val="none"/>
        <vertAlign val="baseline"/>
        <sz val="11"/>
        <color rgb="FF444444"/>
        <name val="Calibri"/>
        <family val="2"/>
        <scheme val="minor"/>
      </font>
      <alignment horizontal="center" vertical="top" textRotation="0" wrapText="0" indent="0" justifyLastLine="0" shrinkToFit="0" readingOrder="0"/>
    </dxf>
    <dxf>
      <font>
        <color rgb="FF444444"/>
      </font>
      <alignment horizontal="center" vertical="top" textRotation="0" wrapText="0" indent="0" justifyLastLine="0" shrinkToFit="0" readingOrder="0"/>
    </dxf>
    <dxf>
      <font>
        <b/>
        <i val="0"/>
        <strike val="0"/>
        <condense val="0"/>
        <extend val="0"/>
        <outline val="0"/>
        <shadow val="0"/>
        <u val="none"/>
        <vertAlign val="baseline"/>
        <sz val="11"/>
        <color rgb="FF444444"/>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11"/>
        <color rgb="FF444444"/>
        <name val="Calibri"/>
        <family val="2"/>
        <scheme val="minor"/>
      </font>
      <alignment horizontal="left" vertical="top" textRotation="0" wrapText="1" indent="0" justifyLastLine="0" shrinkToFit="0" readingOrder="0"/>
    </dxf>
    <dxf>
      <font>
        <b/>
      </font>
    </dxf>
    <dxf>
      <alignment horizontal="left" vertical="top" textRotation="0" wrapText="1" indent="0" justifyLastLine="0" shrinkToFit="0" readingOrder="0"/>
    </dxf>
    <dxf>
      <alignment horizontal="left" vertical="top" textRotation="0" wrapText="1" indent="0" justifyLastLine="0" shrinkToFit="0" readingOrder="0"/>
    </dxf>
    <dxf>
      <font>
        <b/>
        <i val="0"/>
        <strike val="0"/>
        <condense val="0"/>
        <extend val="0"/>
        <outline val="0"/>
        <shadow val="0"/>
        <u val="none"/>
        <vertAlign val="baseline"/>
        <sz val="11"/>
        <color theme="1"/>
        <name val="Calibri"/>
        <family val="2"/>
        <scheme val="minor"/>
      </font>
      <numFmt numFmtId="13" formatCode="0%"/>
      <alignment horizontal="center" vertical="top" textRotation="0" wrapText="1" indent="0" justifyLastLine="0" shrinkToFit="0" readingOrder="0"/>
    </dxf>
    <dxf>
      <alignment horizontal="right" vertical="top"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dxf>
    <dxf>
      <alignment horizontal="right" vertical="top" textRotation="0" wrapText="1" indent="0" justifyLastLine="0" shrinkToFit="0" readingOrder="0"/>
    </dxf>
    <dxf>
      <font>
        <b/>
        <i val="0"/>
        <strike val="0"/>
        <condense val="0"/>
        <extend val="0"/>
        <outline val="0"/>
        <shadow val="0"/>
        <u val="none"/>
        <vertAlign val="baseline"/>
        <sz val="11"/>
        <color theme="1"/>
        <name val="Calibri"/>
        <family val="2"/>
        <scheme val="minor"/>
      </font>
      <numFmt numFmtId="13" formatCode="0%"/>
      <alignment horizontal="center" vertical="top" textRotation="0" wrapText="1" indent="0" justifyLastLine="0" shrinkToFit="0" readingOrder="0"/>
    </dxf>
    <dxf>
      <alignment horizontal="right" vertical="top"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dxf>
    <dxf>
      <alignment horizontal="right" vertical="top" textRotation="0" wrapText="1" indent="0" justifyLastLine="0" shrinkToFit="0" readingOrder="0"/>
    </dxf>
    <dxf>
      <font>
        <b/>
        <i val="0"/>
        <strike val="0"/>
        <condense val="0"/>
        <extend val="0"/>
        <outline val="0"/>
        <shadow val="0"/>
        <u val="none"/>
        <vertAlign val="baseline"/>
        <sz val="11"/>
        <color rgb="FF444444"/>
        <name val="Calibri"/>
        <family val="2"/>
        <scheme val="minor"/>
      </font>
      <alignment horizontal="center" vertical="top" textRotation="0" wrapText="0" indent="0" justifyLastLine="0" shrinkToFit="0" readingOrder="0"/>
    </dxf>
    <dxf>
      <font>
        <color rgb="FF444444"/>
      </font>
      <alignment horizontal="right" vertical="top" textRotation="0" wrapText="0" indent="0" justifyLastLine="0" shrinkToFit="0" readingOrder="0"/>
    </dxf>
    <dxf>
      <font>
        <b/>
        <i val="0"/>
        <strike val="0"/>
        <condense val="0"/>
        <extend val="0"/>
        <outline val="0"/>
        <shadow val="0"/>
        <u val="none"/>
        <vertAlign val="baseline"/>
        <sz val="11"/>
        <color rgb="FF444444"/>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11"/>
        <color rgb="FF444444"/>
        <name val="Calibri"/>
        <family val="2"/>
        <scheme val="minor"/>
      </font>
      <alignment horizontal="right" vertical="top" textRotation="0" wrapText="1" indent="0" justifyLastLine="0" shrinkToFit="0" readingOrder="0"/>
    </dxf>
    <dxf>
      <font>
        <b/>
      </font>
      <alignment horizontal="right" vertical="top" textRotation="0" indent="0" justifyLastLine="0" shrinkToFit="0" readingOrder="0"/>
    </dxf>
    <dxf>
      <alignment horizontal="right" vertical="top" textRotation="0" wrapText="1" indent="0" justifyLastLine="0" shrinkToFit="0" readingOrder="0"/>
    </dxf>
    <dxf>
      <alignment horizontal="right" vertical="top" textRotation="0" wrapText="1" indent="0" justifyLastLine="0" shrinkToFit="0" readingOrder="0"/>
    </dxf>
    <dxf>
      <font>
        <color theme="1"/>
      </font>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color theme="1"/>
      </font>
      <fill>
        <patternFill>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b/>
        <i val="0"/>
        <color theme="0"/>
      </font>
      <fill>
        <patternFill>
          <bgColor theme="2" tint="-0.499984740745262"/>
        </patternFill>
      </fill>
    </dxf>
    <dxf>
      <font>
        <color theme="1"/>
      </font>
    </dxf>
    <dxf>
      <font>
        <b/>
        <i val="0"/>
        <color theme="0"/>
      </font>
      <fill>
        <patternFill>
          <bgColor rgb="FF009BA4"/>
        </patternFill>
      </fill>
      <border>
        <bottom style="thin">
          <color theme="4"/>
        </bottom>
        <vertical/>
        <horizontal/>
      </border>
    </dxf>
    <dxf>
      <font>
        <b val="0"/>
        <i val="0"/>
        <color rgb="FF444444"/>
      </font>
      <border>
        <left style="thin">
          <color rgb="FF009BA4"/>
        </left>
        <right style="thin">
          <color rgb="FF009BA4"/>
        </right>
        <top style="thin">
          <color rgb="FF009BA4"/>
        </top>
        <bottom style="thin">
          <color rgb="FF009BA4"/>
        </bottom>
        <vertical/>
        <horizontal/>
      </border>
    </dxf>
  </dxfs>
  <tableStyles count="2" defaultTableStyle="نمط جدول ISMS" defaultPivotStyle="PivotStyleLight16">
    <tableStyle name="مقسم ISMS" pivot="0" table="0" count="10" xr9:uid="{FCC2AF85-7669-42AB-BE0F-8A70404C0D05}">
      <tableStyleElement type="wholeTable" dxfId="89"/>
      <tableStyleElement type="headerRow" dxfId="88"/>
    </tableStyle>
    <tableStyle name="نمط جدول ISMS" pivot="0" count="4" xr9:uid="{C9D01002-7EEB-4392-906F-2D3907ED044F}">
      <tableStyleElement type="wholeTable" dxfId="87"/>
      <tableStyleElement type="headerRow" dxfId="86"/>
      <tableStyleElement type="firstRowStripe" dxfId="85"/>
      <tableStyleElement type="secondRowStripe" dxfId="84"/>
    </tableStyle>
  </tableStyles>
  <colors>
    <mruColors>
      <color rgb="FF005E63"/>
      <color rgb="FFD0EAEB"/>
      <color rgb="FF009BA4"/>
      <color rgb="FF444444"/>
      <color rgb="FF006D73"/>
      <color rgb="FF004043"/>
      <color rgb="FFFFFFFF"/>
      <color rgb="FFDBDC2C"/>
      <color rgb="FFCCC900"/>
    </mruColors>
  </colors>
  <extLst>
    <ext xmlns:x14="http://schemas.microsoft.com/office/spreadsheetml/2009/9/main" uri="{46F421CA-312F-682f-3DD2-61675219B42D}">
      <x14:dxfs count="8">
        <dxf>
          <font>
            <color rgb="FF444444"/>
          </font>
          <fill>
            <gradientFill degree="90">
              <stop position="0">
                <color rgb="FFCCC900"/>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rgb="FFCCC900"/>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rgb="FFCCC900"/>
              </stop>
              <stop position="1">
                <color theme="0"/>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rgb="FFCCC900"/>
              </stop>
              <stop position="1">
                <color rgb="FFFFFFFF"/>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0EAEB"/>
              <bgColor rgb="FFD0EAEB"/>
            </patternFill>
          </fill>
          <border>
            <left style="thin">
              <color rgb="FFCCCCCC"/>
            </left>
            <right style="thin">
              <color rgb="FFCCCCCC"/>
            </right>
            <top style="thin">
              <color rgb="FFCCCCCC"/>
            </top>
            <bottom style="thin">
              <color rgb="FFCCCCCC"/>
            </bottom>
            <vertical/>
            <horizontal/>
          </border>
        </dxf>
        <dxf>
          <font>
            <color rgb="FF444444"/>
          </font>
          <fill>
            <patternFill patternType="solid">
              <fgColor rgb="FFD0EAEB"/>
              <bgColor rgb="FFD0EAEB"/>
            </patternFill>
          </fill>
          <border>
            <left style="thin">
              <color rgb="FF009BA4"/>
            </left>
            <right style="thin">
              <color rgb="FF009BA4"/>
            </right>
            <top style="thin">
              <color rgb="FF009BA4"/>
            </top>
            <bottom style="thin">
              <color rgb="FF009BA4"/>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44444"/>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مقسم ISM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[REQUIRED1-ISMS-FORM-06-2 Statement of Applicability.xlsx]ISO27001 Results Chart!ISO27001ApplicabilityTableResults</c:name>
    <c:fmtId val="2"/>
  </c:pivotSource>
  <c:chart>
    <c:autoTitleDeleted val="0"/>
    <c:pivotFmts>
      <c:pivotFmt>
        <c:idx val="0"/>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'ISO27001 Results Chart'!$C$6</c:f>
              <c:strCache>
                <c:ptCount val="1"/>
                <c:pt idx="0">
                  <c:v>الضوابط القابلة للتطبيق</c:v>
                </c:pt>
              </c:strCache>
            </c:strRef>
          </c:tx>
          <c:spPr>
            <a:solidFill>
              <a:schemeClr val="bg2">
                <a:lumMod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'ISO27001 Results Chart'!$B$7:$B$11</c:f>
              <c:strCache>
                <c:ptCount val="5"/>
                <c:pt idx="0">
                  <c:v>A.5 الضوابط التنظيمية</c:v>
                </c:pt>
                <c:pt idx="1">
                  <c:v>A.6 ضوابط الأشخاص</c:v>
                </c:pt>
                <c:pt idx="2">
                  <c:v>A.7 الضوابط المادية</c:v>
                </c:pt>
                <c:pt idx="3">
                  <c:v>A.8 الضوابط التقنية</c:v>
                </c:pt>
                <c:pt idx="4">
                  <c:v>الإجمالي</c:v>
                </c:pt>
              </c:strCache>
            </c:strRef>
          </c:cat>
          <c:val>
            <c:numRef>
              <c:f>'ISO27001 Results Chart'!$C$7:$C$11</c:f>
              <c:numCache>
                <c:formatCode>General</c:formatCode>
                <c:ptCount val="5"/>
                <c:pt idx="0">
                  <c:v>37</c:v>
                </c:pt>
                <c:pt idx="1">
                  <c:v>8</c:v>
                </c:pt>
                <c:pt idx="2">
                  <c:v>14</c:v>
                </c:pt>
                <c:pt idx="3">
                  <c:v>34</c:v>
                </c:pt>
                <c:pt idx="4">
                  <c:v>93</c:v>
                </c:pt>
              </c:numCache>
            </c:numRef>
          </c:val>
          <c:extLst>
            <c:ext xmlns:c16="http://schemas.microsoft.com/office/drawing/2014/chart" uri="{C3380CC4-5D6E-409C-BE32-E72D297353CC}">
              <c16:uniqueId val="{00000000-9E20-4A80-B1EB-C77DBA585E0D}"/>
            </c:ext>
          </c:extLst>
        </c:ser>
        <c:ser>
          <c:idx val="1"/>
          <c:order val="1"/>
          <c:tx>
            <c:strRef>
              <c:f>'ISO27001 Results Chart'!$D$6</c:f>
              <c:strCache>
                <c:ptCount val="1"/>
                <c:pt idx="0">
                  <c:v>الضوابط المنفذة</c:v>
                </c:pt>
              </c:strCache>
            </c:strRef>
          </c:tx>
          <c:spPr>
            <a:solidFill>
              <a:schemeClr val="bg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'ISO27001 Results Chart'!$B$7:$B$11</c:f>
              <c:strCache>
                <c:ptCount val="5"/>
                <c:pt idx="0">
                  <c:v>A.5 الضوابط التنظيمية</c:v>
                </c:pt>
                <c:pt idx="1">
                  <c:v>A.6 ضوابط الأشخاص</c:v>
                </c:pt>
                <c:pt idx="2">
                  <c:v>A.7 الضوابط المادية</c:v>
                </c:pt>
                <c:pt idx="3">
                  <c:v>A.8 الضوابط التقنية</c:v>
                </c:pt>
                <c:pt idx="4">
                  <c:v>الإجمالي</c:v>
                </c:pt>
              </c:strCache>
            </c:strRef>
          </c:cat>
          <c:val>
            <c:numRef>
              <c:f>'ISO27001 Results Chart'!$D$7:$D$11</c:f>
              <c:numCache>
                <c:formatCode>General</c:formatCode>
                <c:ptCount val="5"/>
                <c:pt idx="0">
                  <c:v>16</c:v>
                </c:pt>
                <c:pt idx="1">
                  <c:v>3</c:v>
                </c:pt>
                <c:pt idx="2">
                  <c:v>8</c:v>
                </c:pt>
                <c:pt idx="3">
                  <c:v>6</c:v>
                </c:pt>
                <c:pt idx="4">
                  <c:v>93</c:v>
                </c:pt>
              </c:numCache>
            </c:numRef>
          </c:val>
          <c:extLst>
            <c:ext xmlns:c16="http://schemas.microsoft.com/office/drawing/2014/chart" uri="{C3380CC4-5D6E-409C-BE32-E72D297353CC}">
              <c16:uniqueId val="{00000001-9E20-4A80-B1EB-C77DBA585E0D}"/>
            </c:ext>
          </c:extLst>
        </c:ser>
        <c:dLbls>
          <c:dLblPos val="outEnd"/>
          <c:showLegendKey val="0"/>
          <c:showVal val="1"/>
          <c:showCatName val="0"/>
          <c:showSerName val="0"/>
          <c:showPercent val="0"/>
          <c:showBubbleSize val="0"/>
        </c:dLbls>
        <c:gapWidth val="100"/>
        <c:overlap val="-20"/>
        <c:axId val="1313755320"/>
        <c:axId val="1313755976"/>
      </c:barChart>
      <c:catAx>
        <c:axId val="13137553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13755976"/>
        <c:crosses val="autoZero"/>
        <c:auto val="1"/>
        <c:lblAlgn val="ctr"/>
        <c:lblOffset val="100"/>
        <c:noMultiLvlLbl val="0"/>
      </c:catAx>
      <c:valAx>
        <c:axId val="131375597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1375532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[REQUIRED1-ISMS-FORM-06-2 Statement of Applicability.xlsx]ISO27001 % Radar Chart!ISO27001%RadarPivot</c:name>
    <c:fmtId val="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bg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bg2">
                <a:lumMod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bg2">
                <a:lumMod val="75000"/>
              </a:schemeClr>
            </a:solidFill>
            <a:round/>
          </a:ln>
          <a:effectLst/>
        </c:spPr>
        <c:marker>
          <c:symbol val="none"/>
        </c:marker>
      </c:pivotFmt>
      <c:pivotFmt>
        <c:idx val="7"/>
        <c:spPr>
          <a:solidFill>
            <a:schemeClr val="accent1"/>
          </a:solidFill>
          <a:ln w="28575" cap="rnd">
            <a:solidFill>
              <a:schemeClr val="bg2">
                <a:lumMod val="75000"/>
              </a:schemeClr>
            </a:solidFill>
            <a:round/>
          </a:ln>
          <a:effectLst/>
        </c:spPr>
        <c:marker>
          <c:symbol val="none"/>
        </c:marker>
      </c:pivotFmt>
      <c:pivotFmt>
        <c:idx val="8"/>
        <c:spPr>
          <a:ln w="28575" cap="rnd">
            <a:solidFill>
              <a:schemeClr val="bg2">
                <a:lumMod val="75000"/>
              </a:schemeClr>
            </a:solidFill>
            <a:round/>
          </a:ln>
          <a:effectLst/>
        </c:spPr>
        <c:marker>
          <c:symbol val="none"/>
        </c:marker>
      </c:pivotFmt>
    </c:pivotFmts>
    <c:plotArea>
      <c:layout/>
      <c:radarChart>
        <c:radarStyle val="marker"/>
        <c:varyColors val="0"/>
        <c:ser>
          <c:idx val="0"/>
          <c:order val="0"/>
          <c:tx>
            <c:strRef>
              <c:f>'ISO27001 % Radar Chart'!$C$6</c:f>
              <c:strCache>
                <c:ptCount val="1"/>
                <c:pt idx="0">
                  <c:v>نسبة تنفيذ الضوابط القابلة للتطبيق</c:v>
                </c:pt>
              </c:strCache>
            </c:strRef>
          </c:tx>
          <c:spPr>
            <a:ln w="28575" cap="rnd">
              <a:solidFill>
                <a:schemeClr val="bg2">
                  <a:lumMod val="75000"/>
                </a:schemeClr>
              </a:solidFill>
              <a:round/>
            </a:ln>
            <a:effectLst/>
          </c:spPr>
          <c:marker>
            <c:symbol val="none"/>
          </c:marker>
          <c:dPt>
            <c:idx val="1"/>
            <c:marker>
              <c:symbol val="none"/>
            </c:marker>
            <c:bubble3D val="0"/>
            <c:extLst>
              <c:ext xmlns:c16="http://schemas.microsoft.com/office/drawing/2014/chart" uri="{C3380CC4-5D6E-409C-BE32-E72D297353CC}">
                <c16:uniqueId val="{00000002-8B31-4004-A082-7510746DA1DF}"/>
              </c:ext>
            </c:extLst>
          </c:dPt>
          <c:cat>
            <c:strRef>
              <c:f>'ISO27001 % Radar Chart'!$B$7:$B$11</c:f>
              <c:strCache>
                <c:ptCount val="5"/>
                <c:pt idx="0">
                  <c:v>A.5 الضوابط التنظيمية</c:v>
                </c:pt>
                <c:pt idx="1">
                  <c:v>A.6 ضوابط الأشخاص</c:v>
                </c:pt>
                <c:pt idx="2">
                  <c:v>A.7 الضوابط المادية</c:v>
                </c:pt>
                <c:pt idx="3">
                  <c:v>A.8 الضوابط التقنية</c:v>
                </c:pt>
                <c:pt idx="4">
                  <c:v>الإجمالي</c:v>
                </c:pt>
              </c:strCache>
            </c:strRef>
          </c:cat>
          <c:val>
            <c:numRef>
              <c:f>'ISO27001 % Radar Chart'!$C$7:$C$11</c:f>
              <c:numCache>
                <c:formatCode>0%</c:formatCode>
                <c:ptCount val="5"/>
                <c:pt idx="0">
                  <c:v>0.43243243243243246</c:v>
                </c:pt>
                <c:pt idx="1">
                  <c:v>0.375</c:v>
                </c:pt>
                <c:pt idx="2">
                  <c:v>0.5714285714285714</c:v>
                </c:pt>
                <c:pt idx="3">
                  <c:v>0.17647058823529413</c:v>
                </c:pt>
                <c:pt idx="4">
                  <c:v>1</c:v>
                </c:pt>
              </c:numCache>
            </c:numRef>
          </c:val>
          <c:extLst>
            <c:ext xmlns:c16="http://schemas.microsoft.com/office/drawing/2014/chart" uri="{C3380CC4-5D6E-409C-BE32-E72D297353CC}">
              <c16:uniqueId val="{00000000-8B31-4004-A082-7510746DA1DF}"/>
            </c:ext>
          </c:extLst>
        </c:ser>
        <c:ser>
          <c:idx val="1"/>
          <c:order val="1"/>
          <c:tx>
            <c:strRef>
              <c:f>'ISO27001 % Radar Chart'!$D$6</c:f>
              <c:strCache>
                <c:ptCount val="1"/>
                <c:pt idx="0">
                  <c:v>نسبة الضوابط القابلة للتطبيق</c:v>
                </c:pt>
              </c:strCache>
            </c:strRef>
          </c:tx>
          <c:spPr>
            <a:ln w="28575" cap="rnd">
              <a:solidFill>
                <a:schemeClr val="bg2">
                  <a:lumMod val="25000"/>
                </a:schemeClr>
              </a:solidFill>
              <a:round/>
            </a:ln>
            <a:effectLst/>
          </c:spPr>
          <c:marker>
            <c:symbol val="none"/>
          </c:marker>
          <c:cat>
            <c:strRef>
              <c:f>'ISO27001 % Radar Chart'!$B$7:$B$11</c:f>
              <c:strCache>
                <c:ptCount val="5"/>
                <c:pt idx="0">
                  <c:v>A.5 الضوابط التنظيمية</c:v>
                </c:pt>
                <c:pt idx="1">
                  <c:v>A.6 ضوابط الأشخاص</c:v>
                </c:pt>
                <c:pt idx="2">
                  <c:v>A.7 الضوابط المادية</c:v>
                </c:pt>
                <c:pt idx="3">
                  <c:v>A.8 الضوابط التقنية</c:v>
                </c:pt>
                <c:pt idx="4">
                  <c:v>الإجمالي</c:v>
                </c:pt>
              </c:strCache>
            </c:strRef>
          </c:cat>
          <c:val>
            <c:numRef>
              <c:f>'ISO27001 % Radar Chart'!$D$7:$D$11</c:f>
              <c:numCache>
                <c:formatCode>0%</c:formatCode>
                <c:ptCount val="5"/>
                <c:pt idx="0">
                  <c:v>1</c:v>
                </c:pt>
                <c:pt idx="1">
                  <c:v>1</c:v>
                </c:pt>
                <c:pt idx="2">
                  <c:v>1</c:v>
                </c:pt>
                <c:pt idx="3">
                  <c:v>1</c:v>
                </c:pt>
                <c:pt idx="4">
                  <c:v>1</c:v>
                </c:pt>
              </c:numCache>
            </c:numRef>
          </c:val>
          <c:extLst>
            <c:ext xmlns:c16="http://schemas.microsoft.com/office/drawing/2014/chart" uri="{C3380CC4-5D6E-409C-BE32-E72D297353CC}">
              <c16:uniqueId val="{00000001-8B31-4004-A082-7510746DA1DF}"/>
            </c:ext>
          </c:extLst>
        </c:ser>
        <c:dLbls>
          <c:showLegendKey val="0"/>
          <c:showVal val="0"/>
          <c:showCatName val="0"/>
          <c:showSerName val="0"/>
          <c:showPercent val="0"/>
          <c:showBubbleSize val="0"/>
        </c:dLbls>
        <c:axId val="1224042832"/>
        <c:axId val="1224050704"/>
      </c:radarChart>
      <c:catAx>
        <c:axId val="1224042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24050704"/>
        <c:crosses val="autoZero"/>
        <c:auto val="1"/>
        <c:lblAlgn val="ctr"/>
        <c:lblOffset val="100"/>
        <c:noMultiLvlLbl val="0"/>
      </c:catAx>
      <c:valAx>
        <c:axId val="12240507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240428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[REQUIRED1-ISMS-FORM-06-2 Statement of Applicability.xlsx]ISO27001 % Results Chart!ISO27001%ResultsChart</c:name>
    <c:fmtId val="2"/>
  </c:pivotSource>
  <c:chart>
    <c:autoTitleDeleted val="0"/>
    <c:pivotFmts>
      <c:pivotFmt>
        <c:idx val="0"/>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587967557413172E-2"/>
          <c:y val="0.1462151846403815"/>
          <c:w val="0.90582570922884864"/>
          <c:h val="0.51356465057252454"/>
        </c:manualLayout>
      </c:layout>
      <c:barChart>
        <c:barDir val="col"/>
        <c:grouping val="clustered"/>
        <c:varyColors val="0"/>
        <c:ser>
          <c:idx val="0"/>
          <c:order val="0"/>
          <c:tx>
            <c:strRef>
              <c:f>'ISO27001 % Results Chart'!$C$6</c:f>
              <c:strCache>
                <c:ptCount val="1"/>
                <c:pt idx="0">
                  <c:v>نسبة تنفيذ الضوابط القابلة للتطبيق</c:v>
                </c:pt>
              </c:strCache>
            </c:strRef>
          </c:tx>
          <c:spPr>
            <a:solidFill>
              <a:schemeClr val="bg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'ISO27001 % Results Chart'!$B$7:$B$11</c:f>
              <c:strCache>
                <c:ptCount val="5"/>
                <c:pt idx="0">
                  <c:v>A.5 الضوابط التنظيمية</c:v>
                </c:pt>
                <c:pt idx="1">
                  <c:v>A.6 ضوابط الأشخاص</c:v>
                </c:pt>
                <c:pt idx="2">
                  <c:v>A.7 الضوابط المادية</c:v>
                </c:pt>
                <c:pt idx="3">
                  <c:v>A.8 الضوابط التقنية</c:v>
                </c:pt>
                <c:pt idx="4">
                  <c:v>الإجمالي</c:v>
                </c:pt>
              </c:strCache>
            </c:strRef>
          </c:cat>
          <c:val>
            <c:numRef>
              <c:f>'ISO27001 % Results Chart'!$C$7:$C$11</c:f>
              <c:numCache>
                <c:formatCode>0%</c:formatCode>
                <c:ptCount val="5"/>
                <c:pt idx="0">
                  <c:v>0.43243243243243246</c:v>
                </c:pt>
                <c:pt idx="1">
                  <c:v>0.375</c:v>
                </c:pt>
                <c:pt idx="2">
                  <c:v>0.5714285714285714</c:v>
                </c:pt>
                <c:pt idx="3">
                  <c:v>0.17647058823529413</c:v>
                </c:pt>
                <c:pt idx="4">
                  <c:v>1</c:v>
                </c:pt>
              </c:numCache>
            </c:numRef>
          </c:val>
          <c:extLst>
            <c:ext xmlns:c16="http://schemas.microsoft.com/office/drawing/2014/chart" uri="{C3380CC4-5D6E-409C-BE32-E72D297353CC}">
              <c16:uniqueId val="{00000000-173C-4F59-AC71-A5CE5BEA51F3}"/>
            </c:ext>
          </c:extLst>
        </c:ser>
        <c:ser>
          <c:idx val="1"/>
          <c:order val="1"/>
          <c:tx>
            <c:strRef>
              <c:f>'ISO27001 % Results Chart'!$D$6</c:f>
              <c:strCache>
                <c:ptCount val="1"/>
                <c:pt idx="0">
                  <c:v>نسبة الضوابط القابلة للتطبيق</c:v>
                </c:pt>
              </c:strCache>
            </c:strRef>
          </c:tx>
          <c:spPr>
            <a:solidFill>
              <a:schemeClr val="bg2">
                <a:lumMod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'ISO27001 % Results Chart'!$B$7:$B$11</c:f>
              <c:strCache>
                <c:ptCount val="5"/>
                <c:pt idx="0">
                  <c:v>A.5 الضوابط التنظيمية</c:v>
                </c:pt>
                <c:pt idx="1">
                  <c:v>A.6 ضوابط الأشخاص</c:v>
                </c:pt>
                <c:pt idx="2">
                  <c:v>A.7 الضوابط المادية</c:v>
                </c:pt>
                <c:pt idx="3">
                  <c:v>A.8 الضوابط التقنية</c:v>
                </c:pt>
                <c:pt idx="4">
                  <c:v>الإجمالي</c:v>
                </c:pt>
              </c:strCache>
            </c:strRef>
          </c:cat>
          <c:val>
            <c:numRef>
              <c:f>'ISO27001 % Results Chart'!$D$7:$D$11</c:f>
              <c:numCache>
                <c:formatCode>0%</c:formatCode>
                <c:ptCount val="5"/>
                <c:pt idx="0">
                  <c:v>1</c:v>
                </c:pt>
                <c:pt idx="1">
                  <c:v>1</c:v>
                </c:pt>
                <c:pt idx="2">
                  <c:v>1</c:v>
                </c:pt>
                <c:pt idx="3">
                  <c:v>1</c:v>
                </c:pt>
                <c:pt idx="4">
                  <c:v>1</c:v>
                </c:pt>
              </c:numCache>
            </c:numRef>
          </c:val>
          <c:extLst>
            <c:ext xmlns:c16="http://schemas.microsoft.com/office/drawing/2014/chart" uri="{C3380CC4-5D6E-409C-BE32-E72D297353CC}">
              <c16:uniqueId val="{00000001-173C-4F59-AC71-A5CE5BEA51F3}"/>
            </c:ext>
          </c:extLst>
        </c:ser>
        <c:dLbls>
          <c:dLblPos val="outEnd"/>
          <c:showLegendKey val="0"/>
          <c:showVal val="1"/>
          <c:showCatName val="0"/>
          <c:showSerName val="0"/>
          <c:showPercent val="0"/>
          <c:showBubbleSize val="0"/>
        </c:dLbls>
        <c:gapWidth val="100"/>
        <c:overlap val="-20"/>
        <c:axId val="566447928"/>
        <c:axId val="566439400"/>
      </c:barChart>
      <c:catAx>
        <c:axId val="566447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66439400"/>
        <c:crosses val="autoZero"/>
        <c:auto val="1"/>
        <c:lblAlgn val="ctr"/>
        <c:lblOffset val="100"/>
        <c:noMultiLvlLbl val="0"/>
      </c:catAx>
      <c:valAx>
        <c:axId val="566439400"/>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664479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absolute">
    <xdr:from>
      <xdr:col>1</xdr:col>
      <xdr:colOff>3238500</xdr:colOff>
      <xdr:row>0</xdr:row>
      <xdr:rowOff>114300</xdr:rowOff>
    </xdr:from>
    <xdr:to>
      <xdr:col>2</xdr:col>
      <xdr:colOff>76200</xdr:colOff>
      <xdr:row>5</xdr:row>
      <xdr:rowOff>60960</xdr:rowOff>
    </xdr:to>
    <xdr:sp macro="" textlink="">
      <xdr:nvSpPr>
        <xdr:cNvPr id="5" name="TextBox 4">
          <a:extLst>
            <a:ext uri="{FF2B5EF4-FFF2-40B4-BE49-F238E27FC236}">
              <a16:creationId xmlns:a16="http://schemas.microsoft.com/office/drawing/2014/main" id="{EA851375-DB70-49CD-A24A-AD20E1345426}"/>
            </a:ext>
          </a:extLst>
        </xdr:cNvPr>
        <xdr:cNvSpPr txBox="1"/>
      </xdr:nvSpPr>
      <xdr:spPr>
        <a:xfrm flipH="1">
          <a:off x="10236052680" y="114300"/>
          <a:ext cx="3291840" cy="861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800" b="1">
              <a:solidFill>
                <a:schemeClr val="tx1"/>
              </a:solidFill>
            </a:rPr>
            <a:t>Statement of</a:t>
          </a:r>
          <a:br>
            <a:rPr lang="en-GB" sz="1800" b="1">
              <a:solidFill>
                <a:schemeClr val="tx1"/>
              </a:solidFill>
            </a:rPr>
          </a:br>
          <a:r>
            <a:rPr lang="en-GB" sz="1800" b="1">
              <a:solidFill>
                <a:schemeClr val="tx1"/>
              </a:solidFill>
            </a:rPr>
            <a:t>Applicability</a:t>
          </a:r>
        </a:p>
        <a:p>
          <a:pPr algn="r"/>
          <a:r>
            <a:rPr lang="en-GB" sz="1200" b="0">
              <a:solidFill>
                <a:schemeClr val="tx1"/>
              </a:solidFill>
              <a:latin typeface="+mn-lt"/>
            </a:rPr>
            <a:t>ISMS-FORM-06-2</a:t>
          </a:r>
        </a:p>
      </xdr:txBody>
    </xdr:sp>
    <xdr:clientData/>
  </xdr:twoCellAnchor>
  <xdr:twoCellAnchor editAs="oneCell">
    <xdr:from>
      <xdr:col>1</xdr:col>
      <xdr:colOff>0</xdr:colOff>
      <xdr:row>1</xdr:row>
      <xdr:rowOff>0</xdr:rowOff>
    </xdr:from>
    <xdr:to>
      <xdr:col>1</xdr:col>
      <xdr:colOff>2959968</xdr:colOff>
      <xdr:row>5</xdr:row>
      <xdr:rowOff>7620</xdr:rowOff>
    </xdr:to>
    <xdr:pic>
      <xdr:nvPicPr>
        <xdr:cNvPr id="6" name="Picture 5">
          <a:extLst>
            <a:ext uri="{FF2B5EF4-FFF2-40B4-BE49-F238E27FC236}">
              <a16:creationId xmlns:a16="http://schemas.microsoft.com/office/drawing/2014/main" id="{AC8FD6C7-2AEA-4BC9-8A68-FD8A8EE49F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956158" cy="771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2</xdr:col>
      <xdr:colOff>4086224</xdr:colOff>
      <xdr:row>1</xdr:row>
      <xdr:rowOff>66675</xdr:rowOff>
    </xdr:from>
    <xdr:to>
      <xdr:col>3</xdr:col>
      <xdr:colOff>76199</xdr:colOff>
      <xdr:row>6</xdr:row>
      <xdr:rowOff>9525</xdr:rowOff>
    </xdr:to>
    <xdr:sp macro="" textlink="">
      <xdr:nvSpPr>
        <xdr:cNvPr id="4" name="TextBox 3">
          <a:extLst>
            <a:ext uri="{FF2B5EF4-FFF2-40B4-BE49-F238E27FC236}">
              <a16:creationId xmlns:a16="http://schemas.microsoft.com/office/drawing/2014/main" id="{3CDD1298-AF59-4A7C-8014-C1146D958AF0}"/>
            </a:ext>
          </a:extLst>
        </xdr:cNvPr>
        <xdr:cNvSpPr txBox="1"/>
      </xdr:nvSpPr>
      <xdr:spPr>
        <a:xfrm flipH="1">
          <a:off x="10235427841" y="249555"/>
          <a:ext cx="1727835" cy="857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800" b="1">
              <a:solidFill>
                <a:schemeClr val="tx1"/>
              </a:solidFill>
            </a:rPr>
            <a:t>Statement of</a:t>
          </a:r>
          <a:br>
            <a:rPr lang="en-GB" sz="1800" b="1">
              <a:solidFill>
                <a:schemeClr val="tx1"/>
              </a:solidFill>
            </a:rPr>
          </a:br>
          <a:r>
            <a:rPr lang="en-GB" sz="1800" b="1">
              <a:solidFill>
                <a:schemeClr val="tx1"/>
              </a:solidFill>
            </a:rPr>
            <a:t>Applicability</a:t>
          </a:r>
        </a:p>
        <a:p>
          <a:pPr algn="r"/>
          <a:r>
            <a:rPr lang="en-GB" sz="1200" b="0">
              <a:solidFill>
                <a:schemeClr val="tx1"/>
              </a:solidFill>
              <a:latin typeface="+mn-lt"/>
            </a:rPr>
            <a:t>ISMS-FORM-06-2</a:t>
          </a:r>
        </a:p>
      </xdr:txBody>
    </xdr:sp>
    <xdr:clientData/>
  </xdr:twoCellAnchor>
  <xdr:twoCellAnchor editAs="oneCell">
    <xdr:from>
      <xdr:col>1</xdr:col>
      <xdr:colOff>0</xdr:colOff>
      <xdr:row>1</xdr:row>
      <xdr:rowOff>0</xdr:rowOff>
    </xdr:from>
    <xdr:to>
      <xdr:col>2</xdr:col>
      <xdr:colOff>1287780</xdr:colOff>
      <xdr:row>6</xdr:row>
      <xdr:rowOff>103414</xdr:rowOff>
    </xdr:to>
    <xdr:pic>
      <xdr:nvPicPr>
        <xdr:cNvPr id="3" name="Picture 2" descr="Auto Replace">
          <a:extLst>
            <a:ext uri="{FF2B5EF4-FFF2-40B4-BE49-F238E27FC236}">
              <a16:creationId xmlns:a16="http://schemas.microsoft.com/office/drawing/2014/main" id="{37C54104-B82B-4FC8-9B91-6D8E1EEE26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239954120" y="182880"/>
          <a:ext cx="2796540" cy="101781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5</xdr:col>
      <xdr:colOff>990600</xdr:colOff>
      <xdr:row>0</xdr:row>
      <xdr:rowOff>95250</xdr:rowOff>
    </xdr:from>
    <xdr:to>
      <xdr:col>6</xdr:col>
      <xdr:colOff>2105025</xdr:colOff>
      <xdr:row>5</xdr:row>
      <xdr:rowOff>28575</xdr:rowOff>
    </xdr:to>
    <xdr:sp macro="" textlink="">
      <xdr:nvSpPr>
        <xdr:cNvPr id="3" name="TextBox 2">
          <a:extLst>
            <a:ext uri="{FF2B5EF4-FFF2-40B4-BE49-F238E27FC236}">
              <a16:creationId xmlns:a16="http://schemas.microsoft.com/office/drawing/2014/main" id="{7B66A553-D01B-4BC2-8F03-B8580CCB4DA0}"/>
            </a:ext>
          </a:extLst>
        </xdr:cNvPr>
        <xdr:cNvSpPr txBox="1"/>
      </xdr:nvSpPr>
      <xdr:spPr>
        <a:xfrm flipH="1">
          <a:off x="10233094215" y="95250"/>
          <a:ext cx="2790825" cy="862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800" b="1">
              <a:solidFill>
                <a:schemeClr val="tx1"/>
              </a:solidFill>
            </a:rPr>
            <a:t>ISO/IEC 27001 Statement</a:t>
          </a:r>
          <a:br>
            <a:rPr lang="en-GB" sz="1800" b="1">
              <a:solidFill>
                <a:schemeClr val="tx1"/>
              </a:solidFill>
            </a:rPr>
          </a:br>
          <a:r>
            <a:rPr lang="en-GB" sz="1800" b="1">
              <a:solidFill>
                <a:schemeClr val="tx1"/>
              </a:solidFill>
            </a:rPr>
            <a:t>of</a:t>
          </a:r>
          <a:r>
            <a:rPr lang="en-GB" sz="1800" b="1" baseline="0">
              <a:solidFill>
                <a:schemeClr val="tx1"/>
              </a:solidFill>
            </a:rPr>
            <a:t> Applicability</a:t>
          </a:r>
          <a:endParaRPr lang="en-GB" sz="1800" b="1">
            <a:solidFill>
              <a:schemeClr val="tx1"/>
            </a:solidFill>
          </a:endParaRPr>
        </a:p>
        <a:p>
          <a:pPr algn="r"/>
          <a:r>
            <a:rPr lang="en-GB" sz="1200" b="0">
              <a:solidFill>
                <a:schemeClr val="tx1"/>
              </a:solidFill>
              <a:latin typeface="+mn-lt"/>
            </a:rPr>
            <a:t>ISMS-FORM-06-2</a:t>
          </a:r>
        </a:p>
      </xdr:txBody>
    </xdr:sp>
    <xdr:clientData/>
  </xdr:twoCellAnchor>
  <xdr:twoCellAnchor editAs="oneCell">
    <xdr:from>
      <xdr:col>1</xdr:col>
      <xdr:colOff>0</xdr:colOff>
      <xdr:row>1</xdr:row>
      <xdr:rowOff>0</xdr:rowOff>
    </xdr:from>
    <xdr:to>
      <xdr:col>2</xdr:col>
      <xdr:colOff>731520</xdr:colOff>
      <xdr:row>6</xdr:row>
      <xdr:rowOff>88174</xdr:rowOff>
    </xdr:to>
    <xdr:pic>
      <xdr:nvPicPr>
        <xdr:cNvPr id="5" name="Picture 4" descr="Auto Replace">
          <a:extLst>
            <a:ext uri="{FF2B5EF4-FFF2-40B4-BE49-F238E27FC236}">
              <a16:creationId xmlns:a16="http://schemas.microsoft.com/office/drawing/2014/main" id="{6B347F60-DEC9-4C92-8FCC-056DC76A59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243238340" y="182880"/>
          <a:ext cx="3268980" cy="103305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22</xdr:row>
      <xdr:rowOff>190499</xdr:rowOff>
    </xdr:from>
    <xdr:to>
      <xdr:col>6</xdr:col>
      <xdr:colOff>1238250</xdr:colOff>
      <xdr:row>55</xdr:row>
      <xdr:rowOff>180974</xdr:rowOff>
    </xdr:to>
    <xdr:graphicFrame macro="">
      <xdr:nvGraphicFramePr>
        <xdr:cNvPr id="6" name="Chart 5">
          <a:extLst>
            <a:ext uri="{FF2B5EF4-FFF2-40B4-BE49-F238E27FC236}">
              <a16:creationId xmlns:a16="http://schemas.microsoft.com/office/drawing/2014/main" id="{ADFE48F8-1447-4C87-8D52-1D8AA1E4F1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9525</xdr:colOff>
      <xdr:row>14</xdr:row>
      <xdr:rowOff>0</xdr:rowOff>
    </xdr:from>
    <xdr:to>
      <xdr:col>23</xdr:col>
      <xdr:colOff>600075</xdr:colOff>
      <xdr:row>35</xdr:row>
      <xdr:rowOff>9525</xdr:rowOff>
    </xdr:to>
    <xdr:graphicFrame macro="">
      <xdr:nvGraphicFramePr>
        <xdr:cNvPr id="7" name="Chart 6">
          <a:extLst>
            <a:ext uri="{FF2B5EF4-FFF2-40B4-BE49-F238E27FC236}">
              <a16:creationId xmlns:a16="http://schemas.microsoft.com/office/drawing/2014/main" id="{490B58A1-5C4A-4D20-A9D4-4BB1B499AC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39</xdr:row>
      <xdr:rowOff>0</xdr:rowOff>
    </xdr:from>
    <xdr:to>
      <xdr:col>26</xdr:col>
      <xdr:colOff>0</xdr:colOff>
      <xdr:row>66</xdr:row>
      <xdr:rowOff>0</xdr:rowOff>
    </xdr:to>
    <xdr:graphicFrame macro="">
      <xdr:nvGraphicFramePr>
        <xdr:cNvPr id="8" name="Chart 7">
          <a:extLst>
            <a:ext uri="{FF2B5EF4-FFF2-40B4-BE49-F238E27FC236}">
              <a16:creationId xmlns:a16="http://schemas.microsoft.com/office/drawing/2014/main" id="{357FCA02-66DE-4B55-ABF4-0A9A08B133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xdr:colOff>
      <xdr:row>1</xdr:row>
      <xdr:rowOff>0</xdr:rowOff>
    </xdr:from>
    <xdr:to>
      <xdr:col>1</xdr:col>
      <xdr:colOff>3557954</xdr:colOff>
      <xdr:row>6</xdr:row>
      <xdr:rowOff>103414</xdr:rowOff>
    </xdr:to>
    <xdr:pic>
      <xdr:nvPicPr>
        <xdr:cNvPr id="4" name="Picture 3" descr="Auto Replace">
          <a:extLst>
            <a:ext uri="{FF2B5EF4-FFF2-40B4-BE49-F238E27FC236}">
              <a16:creationId xmlns:a16="http://schemas.microsoft.com/office/drawing/2014/main" id="{97AC53B0-477B-4DEB-9546-C6E520B842E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283512385" y="181708"/>
          <a:ext cx="3557953" cy="101195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MR KHALID AL-MOSABI" refreshedDate="46278.459947222225" missingItemsLimit="0" createdVersion="6" refreshedVersion="8" minRefreshableVersion="3" recordCount="5" xr:uid="{6C55B2AF-FD4C-4E2A-90E9-57ADDCC687EC}">
  <cacheSource type="worksheet">
    <worksheetSource name="ISO27001ApplicabilityTableResults"/>
  </cacheSource>
  <cacheFields count="6">
    <cacheField name="مجال المعيار" numFmtId="0">
      <sharedItems count="5">
        <s v="A.5 الضوابط التنظيمية"/>
        <s v="A.6 ضوابط الأشخاص"/>
        <s v="A.7 الضوابط المادية"/>
        <s v="A.8 الضوابط التقنية"/>
        <s v="الإجمالي"/>
      </sharedItems>
    </cacheField>
    <cacheField name="عدد الضوابط" numFmtId="0">
      <sharedItems containsSemiMixedTypes="0" containsString="0" containsNumber="1" containsInteger="1" minValue="8" maxValue="93" count="5">
        <n v="37"/>
        <n v="8"/>
        <n v="14"/>
        <n v="34"/>
        <n v="93"/>
      </sharedItems>
    </cacheField>
    <cacheField name="الضوابط القابلة للتطبيق" numFmtId="0">
      <sharedItems containsSemiMixedTypes="0" containsString="0" containsNumber="1" containsInteger="1" minValue="8" maxValue="93"/>
    </cacheField>
    <cacheField name="نسبة الضوابط القابلة للتطبيق" numFmtId="9">
      <sharedItems containsSemiMixedTypes="0" containsString="0" containsNumber="1" containsInteger="1" minValue="1" maxValue="1"/>
    </cacheField>
    <cacheField name="الضوابط المنفذة" numFmtId="0">
      <sharedItems containsSemiMixedTypes="0" containsString="0" containsNumber="1" containsInteger="1" minValue="3" maxValue="93"/>
    </cacheField>
    <cacheField name="نسبة تنفيذ الضوابط القابلة للتطبيق" numFmtId="9">
      <sharedItems containsSemiMixedTypes="0" containsString="0" containsNumber="1" minValue="0.17647058823529413"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n v="37"/>
    <n v="1"/>
    <n v="16"/>
    <n v="0.43243243243243246"/>
  </r>
  <r>
    <x v="1"/>
    <x v="1"/>
    <n v="8"/>
    <n v="1"/>
    <n v="3"/>
    <n v="0.375"/>
  </r>
  <r>
    <x v="2"/>
    <x v="2"/>
    <n v="14"/>
    <n v="1"/>
    <n v="8"/>
    <n v="0.5714285714285714"/>
  </r>
  <r>
    <x v="3"/>
    <x v="3"/>
    <n v="34"/>
    <n v="1"/>
    <n v="6"/>
    <n v="0.17647058823529413"/>
  </r>
  <r>
    <x v="4"/>
    <x v="4"/>
    <n v="93"/>
    <n v="1"/>
    <n v="93"/>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69303E-6E9A-48D3-AB4D-497A24F9D4DB}" name="ISO27001ApplicabilityTableResults" cacheId="5" applyNumberFormats="0" applyBorderFormats="0" applyFontFormats="0" applyPatternFormats="0" applyAlignmentFormats="0" applyWidthHeightFormats="1" dataCaption="Values" updatedVersion="8" minRefreshableVersion="3" showDrill="0" useAutoFormatting="1" rowGrandTotals="0" colGrandTotals="0" itemPrintTitles="1" createdVersion="6" indent="0" compact="0" compactData="0" multipleFieldFilters="0" chartFormat="9">
  <location ref="B6:D11" firstHeaderRow="0" firstDataRow="1" firstDataCol="1"/>
  <pivotFields count="6">
    <pivotField axis="axisRow" compact="0" outline="0" showAll="0" defaultSubtotal="0">
      <items count="5">
        <item x="0"/>
        <item x="1"/>
        <item x="2"/>
        <item x="3"/>
        <item x="4"/>
      </items>
    </pivotField>
    <pivotField compact="0" outline="0" showAll="0" defaultSubtotal="0">
      <items count="5">
        <item x="1"/>
        <item x="2"/>
        <item x="0"/>
        <item x="3"/>
        <item x="4"/>
      </items>
    </pivotField>
    <pivotField dataField="1" compact="0" outline="0" showAll="0" defaultSubtotal="0"/>
    <pivotField compact="0" numFmtId="9" outline="0" showAll="0" defaultSubtotal="0"/>
    <pivotField dataField="1" compact="0" outline="0" showAll="0" defaultSubtotal="0"/>
    <pivotField compact="0" numFmtId="9" outline="0" showAll="0" defaultSubtotal="0"/>
  </pivotFields>
  <rowFields count="1">
    <field x="0"/>
  </rowFields>
  <rowItems count="5">
    <i>
      <x/>
    </i>
    <i>
      <x v="1"/>
    </i>
    <i>
      <x v="2"/>
    </i>
    <i>
      <x v="3"/>
    </i>
    <i>
      <x v="4"/>
    </i>
  </rowItems>
  <colFields count="1">
    <field x="-2"/>
  </colFields>
  <colItems count="2">
    <i>
      <x/>
    </i>
    <i i="1">
      <x v="1"/>
    </i>
  </colItems>
  <dataFields count="2">
    <dataField name="الضوابط القابلة للتطبيق" fld="2" baseField="0" baseItem="0"/>
    <dataField name="الضوابط المنفذة" fld="4" baseField="0" baseItem="0"/>
  </dataFields>
  <formats count="19">
    <format dxfId="53">
      <pivotArea field="0" type="button" dataOnly="0" labelOnly="1" outline="0" axis="axisRow" fieldPosition="0"/>
    </format>
    <format dxfId="52">
      <pivotArea field="1" type="button" dataOnly="0" labelOnly="1" outline="0"/>
    </format>
    <format dxfId="51">
      <pivotArea dataOnly="0" labelOnly="1" outline="0" fieldPosition="0">
        <references count="1">
          <reference field="4294967294" count="2">
            <x v="0"/>
            <x v="1"/>
          </reference>
        </references>
      </pivotArea>
    </format>
    <format dxfId="50">
      <pivotArea field="0" type="button" dataOnly="0" labelOnly="1" outline="0" axis="axisRow" fieldPosition="0"/>
    </format>
    <format dxfId="49">
      <pivotArea field="1" type="button" dataOnly="0" labelOnly="1" outline="0"/>
    </format>
    <format dxfId="48">
      <pivotArea dataOnly="0" labelOnly="1" outline="0" fieldPosition="0">
        <references count="1">
          <reference field="4294967294" count="2">
            <x v="0"/>
            <x v="1"/>
          </reference>
        </references>
      </pivotArea>
    </format>
    <format dxfId="47">
      <pivotArea field="0" type="button" dataOnly="0" labelOnly="1" outline="0" axis="axisRow" fieldPosition="0"/>
    </format>
    <format dxfId="46">
      <pivotArea field="1" type="button" dataOnly="0" labelOnly="1" outline="0"/>
    </format>
    <format dxfId="45">
      <pivotArea dataOnly="0" labelOnly="1" outline="0" fieldPosition="0">
        <references count="1">
          <reference field="4294967294" count="2">
            <x v="0"/>
            <x v="1"/>
          </reference>
        </references>
      </pivotArea>
    </format>
    <format dxfId="44">
      <pivotArea type="all" dataOnly="0" outline="0" fieldPosition="0"/>
    </format>
    <format dxfId="43">
      <pivotArea outline="0" collapsedLevelsAreSubtotals="1" fieldPosition="0"/>
    </format>
    <format dxfId="42">
      <pivotArea field="0" type="button" dataOnly="0" labelOnly="1" outline="0" axis="axisRow" fieldPosition="0"/>
    </format>
    <format dxfId="41">
      <pivotArea field="1" type="button" dataOnly="0" labelOnly="1" outline="0"/>
    </format>
    <format dxfId="40">
      <pivotArea dataOnly="0" labelOnly="1" outline="0" fieldPosition="0">
        <references count="1">
          <reference field="4294967294" count="2">
            <x v="0"/>
            <x v="1"/>
          </reference>
        </references>
      </pivotArea>
    </format>
    <format dxfId="39">
      <pivotArea type="all" dataOnly="0" outline="0" fieldPosition="0"/>
    </format>
    <format dxfId="38">
      <pivotArea field="0" type="button" dataOnly="0" labelOnly="1" outline="0" axis="axisRow" fieldPosition="0"/>
    </format>
    <format dxfId="37">
      <pivotArea outline="0" collapsedLevelsAreSubtotals="1" fieldPosition="0"/>
    </format>
    <format dxfId="36">
      <pivotArea field="1" type="button" dataOnly="0" labelOnly="1" outline="0"/>
    </format>
    <format dxfId="35">
      <pivotArea dataOnly="0" labelOnly="1" outline="0" fieldPosition="0">
        <references count="1">
          <reference field="4294967294" count="2">
            <x v="0"/>
            <x v="1"/>
          </reference>
        </references>
      </pivotArea>
    </format>
  </formats>
  <chartFormats count="4">
    <chartFormat chart="2" format="31" series="1">
      <pivotArea type="data" outline="0" fieldPosition="0">
        <references count="1">
          <reference field="4294967294" count="1" selected="0">
            <x v="0"/>
          </reference>
        </references>
      </pivotArea>
    </chartFormat>
    <chartFormat chart="2" format="32" series="1">
      <pivotArea type="data" outline="0" fieldPosition="0">
        <references count="1">
          <reference field="4294967294" count="1" selected="0">
            <x v="1"/>
          </reference>
        </references>
      </pivotArea>
    </chartFormat>
    <chartFormat chart="8" format="35" series="1">
      <pivotArea type="data" outline="0" fieldPosition="0">
        <references count="1">
          <reference field="4294967294" count="1" selected="0">
            <x v="0"/>
          </reference>
        </references>
      </pivotArea>
    </chartFormat>
    <chartFormat chart="8" format="3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8B51A0-1D29-4E93-B185-2C89C5A979FD}" name="ISO27001%ResultsChart" cacheId="5"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9">
  <location ref="B6:D11" firstHeaderRow="0" firstDataRow="1" firstDataCol="1"/>
  <pivotFields count="6">
    <pivotField axis="axisRow" compact="0" outline="0" showAll="0" defaultSubtotal="0">
      <items count="5">
        <item x="0"/>
        <item x="1"/>
        <item x="2"/>
        <item x="3"/>
        <item x="4"/>
      </items>
    </pivotField>
    <pivotField compact="0" outline="0" showAll="0" defaultSubtotal="0"/>
    <pivotField compact="0" outline="0" showAll="0" defaultSubtotal="0"/>
    <pivotField dataField="1" compact="0" numFmtId="9" outline="0" showAll="0" defaultSubtotal="0"/>
    <pivotField compact="0" outline="0" showAll="0" defaultSubtotal="0"/>
    <pivotField dataField="1" compact="0" numFmtId="9" outline="0" showAll="0" defaultSubtotal="0"/>
  </pivotFields>
  <rowFields count="1">
    <field x="0"/>
  </rowFields>
  <rowItems count="5">
    <i>
      <x/>
    </i>
    <i>
      <x v="1"/>
    </i>
    <i>
      <x v="2"/>
    </i>
    <i>
      <x v="3"/>
    </i>
    <i>
      <x v="4"/>
    </i>
  </rowItems>
  <colFields count="1">
    <field x="-2"/>
  </colFields>
  <colItems count="2">
    <i>
      <x/>
    </i>
    <i i="1">
      <x v="1"/>
    </i>
  </colItems>
  <dataFields count="2">
    <dataField name="نسبة تنفيذ الضوابط القابلة للتطبيق" fld="5" baseField="0" baseItem="0" numFmtId="9"/>
    <dataField name="نسبة الضوابط القابلة للتطبيق" fld="3" baseField="0" baseItem="0" numFmtId="9"/>
  </dataFields>
  <formats count="16">
    <format dxfId="34">
      <pivotArea field="0" type="button" dataOnly="0" labelOnly="1" outline="0" axis="axisRow" fieldPosition="0"/>
    </format>
    <format dxfId="33">
      <pivotArea dataOnly="0" labelOnly="1" outline="0" fieldPosition="0">
        <references count="1">
          <reference field="4294967294" count="2">
            <x v="0"/>
            <x v="1"/>
          </reference>
        </references>
      </pivotArea>
    </format>
    <format dxfId="32">
      <pivotArea field="0" type="button" dataOnly="0" labelOnly="1" outline="0" axis="axisRow" fieldPosition="0"/>
    </format>
    <format dxfId="31">
      <pivotArea dataOnly="0" labelOnly="1" outline="0" fieldPosition="0">
        <references count="1">
          <reference field="4294967294" count="2">
            <x v="0"/>
            <x v="1"/>
          </reference>
        </references>
      </pivotArea>
    </format>
    <format dxfId="30">
      <pivotArea outline="0" collapsedLevelsAreSubtotals="1" fieldPosition="0"/>
    </format>
    <format dxfId="29">
      <pivotArea dataOnly="0" labelOnly="1" outline="0" fieldPosition="0">
        <references count="1">
          <reference field="4294967294" count="2">
            <x v="0"/>
            <x v="1"/>
          </reference>
        </references>
      </pivotArea>
    </format>
    <format dxfId="28">
      <pivotArea type="all" dataOnly="0" outline="0" fieldPosition="0"/>
    </format>
    <format dxfId="27">
      <pivotArea outline="0" collapsedLevelsAreSubtotals="1" fieldPosition="0"/>
    </format>
    <format dxfId="26">
      <pivotArea field="0" type="button" dataOnly="0" labelOnly="1" outline="0" axis="axisRow" fieldPosition="0"/>
    </format>
    <format dxfId="25">
      <pivotArea dataOnly="0" labelOnly="1" outline="0" fieldPosition="0">
        <references count="1">
          <reference field="0" count="0"/>
        </references>
      </pivotArea>
    </format>
    <format dxfId="24">
      <pivotArea dataOnly="0" labelOnly="1" outline="0" fieldPosition="0">
        <references count="1">
          <reference field="4294967294" count="2">
            <x v="0"/>
            <x v="1"/>
          </reference>
        </references>
      </pivotArea>
    </format>
    <format dxfId="23">
      <pivotArea type="all" dataOnly="0" outline="0" fieldPosition="0"/>
    </format>
    <format dxfId="22">
      <pivotArea outline="0" collapsedLevelsAreSubtotals="1" fieldPosition="0"/>
    </format>
    <format dxfId="21">
      <pivotArea field="0" type="button" dataOnly="0" labelOnly="1" outline="0" axis="axisRow" fieldPosition="0"/>
    </format>
    <format dxfId="20">
      <pivotArea dataOnly="0" labelOnly="1" outline="0" fieldPosition="0">
        <references count="1">
          <reference field="0" count="0"/>
        </references>
      </pivotArea>
    </format>
    <format dxfId="19">
      <pivotArea dataOnly="0" labelOnly="1" outline="0" fieldPosition="0">
        <references count="1">
          <reference field="4294967294" count="2">
            <x v="0"/>
            <x v="1"/>
          </reference>
        </references>
      </pivotArea>
    </format>
  </formats>
  <chartFormats count="4">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9934ED-2F0B-4A92-9567-739929ED11FF}" name="ISO27001%RadarPivot" cacheId="5"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9">
  <location ref="B6:D11" firstHeaderRow="0" firstDataRow="1" firstDataCol="1"/>
  <pivotFields count="6">
    <pivotField axis="axisRow" compact="0" outline="0" showAll="0" defaultSubtotal="0">
      <items count="5">
        <item x="0"/>
        <item x="1"/>
        <item x="2"/>
        <item x="3"/>
        <item x="4"/>
      </items>
    </pivotField>
    <pivotField compact="0" outline="0" showAll="0" defaultSubtotal="0"/>
    <pivotField compact="0" outline="0" showAll="0" defaultSubtotal="0"/>
    <pivotField dataField="1" compact="0" numFmtId="9" outline="0" showAll="0" defaultSubtotal="0"/>
    <pivotField compact="0" outline="0" showAll="0" defaultSubtotal="0"/>
    <pivotField dataField="1" compact="0" numFmtId="9" outline="0" showAll="0" defaultSubtotal="0"/>
  </pivotFields>
  <rowFields count="1">
    <field x="0"/>
  </rowFields>
  <rowItems count="5">
    <i>
      <x/>
    </i>
    <i>
      <x v="1"/>
    </i>
    <i>
      <x v="2"/>
    </i>
    <i>
      <x v="3"/>
    </i>
    <i>
      <x v="4"/>
    </i>
  </rowItems>
  <colFields count="1">
    <field x="-2"/>
  </colFields>
  <colItems count="2">
    <i>
      <x/>
    </i>
    <i i="1">
      <x v="1"/>
    </i>
  </colItems>
  <dataFields count="2">
    <dataField name="نسبة تنفيذ الضوابط القابلة للتطبيق" fld="5" baseField="0" baseItem="0" numFmtId="9"/>
    <dataField name="نسبة الضوابط القابلة للتطبيق" fld="3" baseField="0" baseItem="3" numFmtId="9"/>
  </dataFields>
  <formats count="19">
    <format dxfId="18">
      <pivotArea type="all" dataOnly="0" outline="0" fieldPosition="0"/>
    </format>
    <format dxfId="17">
      <pivotArea outline="0" collapsedLevelsAreSubtotals="1" fieldPosition="0"/>
    </format>
    <format dxfId="16">
      <pivotArea field="0" type="button" dataOnly="0" labelOnly="1" outline="0" axis="axisRow" fieldPosition="0"/>
    </format>
    <format dxfId="15">
      <pivotArea dataOnly="0" labelOnly="1" fieldPosition="0">
        <references count="1">
          <reference field="0" count="0"/>
        </references>
      </pivotArea>
    </format>
    <format dxfId="14">
      <pivotArea dataOnly="0" labelOnly="1" grandRow="1" outline="0" fieldPosition="0"/>
    </format>
    <format dxfId="13">
      <pivotArea dataOnly="0" labelOnly="1" outline="0" axis="axisValues" fieldPosition="0"/>
    </format>
    <format dxfId="12">
      <pivotArea type="all" dataOnly="0" outline="0" fieldPosition="0"/>
    </format>
    <format dxfId="11">
      <pivotArea outline="0" collapsedLevelsAreSubtotals="1" fieldPosition="0"/>
    </format>
    <format dxfId="10">
      <pivotArea dataOnly="0" labelOnly="1" fieldPosition="0">
        <references count="1">
          <reference field="0" count="0"/>
        </references>
      </pivotArea>
    </format>
    <format dxfId="9">
      <pivotArea dataOnly="0" labelOnly="1" grandRow="1" outline="0" fieldPosition="0"/>
    </format>
    <format dxfId="8">
      <pivotArea dataOnly="0" labelOnly="1" outline="0" axis="axisValues" fieldPosition="0"/>
    </format>
    <format dxfId="7">
      <pivotArea outline="0" fieldPosition="0">
        <references count="1">
          <reference field="4294967294" count="1">
            <x v="1"/>
          </reference>
        </references>
      </pivotArea>
    </format>
    <format dxfId="6">
      <pivotArea dataOnly="0" labelOnly="1" outline="0" fieldPosition="0">
        <references count="1">
          <reference field="4294967294" count="2">
            <x v="0"/>
            <x v="1"/>
          </reference>
        </references>
      </pivotArea>
    </format>
    <format dxfId="5">
      <pivotArea field="0" type="button" dataOnly="0" labelOnly="1" outline="0" axis="axisRow" fieldPosition="0"/>
    </format>
    <format dxfId="4">
      <pivotArea dataOnly="0" labelOnly="1" outline="0" fieldPosition="0">
        <references count="1">
          <reference field="4294967294" count="2">
            <x v="0"/>
            <x v="1"/>
          </reference>
        </references>
      </pivotArea>
    </format>
    <format dxfId="3">
      <pivotArea field="0" type="button" dataOnly="0" labelOnly="1" outline="0" axis="axisRow" fieldPosition="0"/>
    </format>
    <format dxfId="2">
      <pivotArea dataOnly="0" labelOnly="1" outline="0" fieldPosition="0">
        <references count="1">
          <reference field="4294967294" count="2">
            <x v="0"/>
            <x v="1"/>
          </reference>
        </references>
      </pivotArea>
    </format>
    <format dxfId="1">
      <pivotArea field="0" type="button" dataOnly="0" labelOnly="1" outline="0" axis="axisRow" fieldPosition="0"/>
    </format>
    <format dxfId="0">
      <pivotArea dataOnly="0" labelOnly="1" outline="0" fieldPosition="0">
        <references count="1">
          <reference field="4294967294" count="2">
            <x v="0"/>
            <x v="1"/>
          </reference>
        </references>
      </pivotArea>
    </format>
  </formats>
  <chartFormats count="5">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8" format="10" series="1">
      <pivotArea type="data" outline="0" fieldPosition="0">
        <references count="1">
          <reference field="4294967294" count="1" selected="0">
            <x v="0"/>
          </reference>
        </references>
      </pivotArea>
    </chartFormat>
    <chartFormat chart="8" format="12" series="1">
      <pivotArea type="data" outline="0" fieldPosition="0">
        <references count="1">
          <reference field="4294967294" count="1" selected="0">
            <x v="1"/>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7DB06E7-7D6F-403C-8E3A-F5BBD56971F2}" name="ISO27001ApplicabilityTableResults11" displayName="ISO27001ApplicabilityTableResults11" ref="B13:G18" headerRowDxfId="83" dataDxfId="82" totalsRowDxfId="81">
  <tableColumns count="6">
    <tableColumn id="1" xr3:uid="{78F61ACA-E89D-4904-AAA5-6FE1DAED9AED}" name="مجال المعيار" totalsRowLabel="Total" dataDxfId="80" totalsRowDxfId="79"/>
    <tableColumn id="2" xr3:uid="{AE53D220-DA83-4DEB-AE78-2D75A7D2CD21}" name="عدد الضوابط" totalsRowFunction="sum" dataDxfId="78" totalsRowDxfId="77"/>
    <tableColumn id="3" xr3:uid="{7FE396D4-21C6-474A-B018-BA5AD64CEA0C}" name="الضوابط القابلة للتطبيق" totalsRowFunction="sum" dataDxfId="76" totalsRowDxfId="75"/>
    <tableColumn id="4" xr3:uid="{8BED9C7A-B004-4D71-B4CC-05228F107ACA}" name="نسبة الضوابط القابلة للتطبيق" totalsRowFunction="average" dataDxfId="74" totalsRowDxfId="73"/>
    <tableColumn id="5" xr3:uid="{A620EFC7-FE96-4193-A980-999CE2ECAE1A}" name="الضوابط المنفذة" totalsRowFunction="sum" dataDxfId="72" totalsRowDxfId="71"/>
    <tableColumn id="6" xr3:uid="{BA65B6EA-AC70-4181-83DB-08FD4DED54F6}" name="نسبة تنفيذ الضوابط القابلة للتطبيق" totalsRowFunction="average" dataDxfId="70" totalsRowDxfId="69" dataCellStyle="Percent">
      <calculatedColumnFormula>IF(D14=0,1,+F14/D14)</calculatedColumnFormula>
    </tableColumn>
  </tableColumns>
  <tableStyleInfo name="نمط جدول ISMS"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9FF413-42C5-4FF3-BF4E-50BECADF5A1F}" name="ISO27001ApplicabilityTableResults" displayName="ISO27001ApplicabilityTableResults" ref="B6:G11" headerRowDxfId="68" dataDxfId="67" totalsRowDxfId="66">
  <tableColumns count="6">
    <tableColumn id="1" xr3:uid="{159B52E0-703B-49E8-8ECA-AB25675ED429}" name="مجال المعيار" totalsRowLabel="Total" dataDxfId="65" totalsRowDxfId="64"/>
    <tableColumn id="2" xr3:uid="{2D8938BC-98D3-4443-8FC6-877AB5E6F742}" name="عدد الضوابط" totalsRowFunction="sum" dataDxfId="63" totalsRowDxfId="62"/>
    <tableColumn id="3" xr3:uid="{716F52A1-0E1F-4C94-9E87-06DB6348E079}" name="الضوابط القابلة للتطبيق" totalsRowFunction="sum" dataDxfId="61" totalsRowDxfId="60"/>
    <tableColumn id="4" xr3:uid="{68DD5436-2FB5-4027-8CAF-8BBD781BB754}" name="نسبة الضوابط القابلة للتطبيق" totalsRowFunction="average" dataDxfId="59" totalsRowDxfId="58"/>
    <tableColumn id="5" xr3:uid="{D7FBC7F4-DEB8-47F3-BDA1-0B0F476FA329}" name="الضوابط المنفذة" totalsRowFunction="sum" dataDxfId="57" totalsRowDxfId="56"/>
    <tableColumn id="6" xr3:uid="{66AA482B-B506-48FD-8EF3-E62F5CF59DF3}" name="نسبة تنفيذ الضوابط القابلة للتطبيق" totalsRowFunction="average" dataDxfId="55" totalsRowDxfId="54" dataCellStyle="Percent">
      <calculatedColumnFormula>IF(D7=0,1,+F7/D7)</calculatedColumnFormula>
    </tableColumn>
  </tableColumns>
  <tableStyleInfo name="نمط جدول ISMS" showFirstColumn="0" showLastColumn="0" showRowStripes="0" showColumnStripes="0"/>
</table>
</file>

<file path=xl/theme/theme1.xml><?xml version="1.0" encoding="utf-8"?>
<a:theme xmlns:a="http://schemas.openxmlformats.org/drawingml/2006/main" name="سمة بنك الآفاق الرقمية">
  <a:themeElements>
    <a:clrScheme name="ألوان بنك الآفاق الرقمية">
      <a:dk1>
        <a:srgbClr val="444444"/>
      </a:dk1>
      <a:lt1>
        <a:sysClr val="window" lastClr="FFFFFF"/>
      </a:lt1>
      <a:dk2>
        <a:srgbClr val="CCC900"/>
      </a:dk2>
      <a:lt2>
        <a:srgbClr val="D0EAEB"/>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5DBB7-4277-4A45-906F-D59AA221A72F}">
  <dimension ref="B8:B28"/>
  <sheetViews>
    <sheetView showGridLines="0" rightToLeft="1" tabSelected="1" topLeftCell="B46" zoomScaleNormal="100" workbookViewId="0">
      <selection activeCell="D8" sqref="D8"/>
    </sheetView>
  </sheetViews>
  <sheetFormatPr defaultColWidth="9.109375" defaultRowHeight="14.4" x14ac:dyDescent="0.3"/>
  <cols>
    <col min="1" max="1" width="2.88671875" style="3" customWidth="1"/>
    <col min="2" max="2" width="94.109375" style="3" customWidth="1"/>
    <col min="3" max="16384" width="9.109375" style="3"/>
  </cols>
  <sheetData>
    <row r="8" spans="2:2" ht="43.2" x14ac:dyDescent="0.3">
      <c r="B8" s="70" t="s">
        <v>0</v>
      </c>
    </row>
    <row r="10" spans="2:2" ht="43.2" x14ac:dyDescent="0.3">
      <c r="B10" s="9" t="s">
        <v>1</v>
      </c>
    </row>
    <row r="12" spans="2:2" ht="57.6" x14ac:dyDescent="0.3">
      <c r="B12" s="9" t="s">
        <v>2</v>
      </c>
    </row>
    <row r="14" spans="2:2" ht="72" x14ac:dyDescent="0.3">
      <c r="B14" s="9" t="s">
        <v>3</v>
      </c>
    </row>
    <row r="15" spans="2:2" x14ac:dyDescent="0.3">
      <c r="B15" s="68"/>
    </row>
    <row r="16" spans="2:2" ht="201.6" x14ac:dyDescent="0.3">
      <c r="B16" s="9" t="s">
        <v>4</v>
      </c>
    </row>
    <row r="18" spans="2:2" ht="41.25" customHeight="1" x14ac:dyDescent="0.3">
      <c r="B18" s="9" t="s">
        <v>5</v>
      </c>
    </row>
    <row r="20" spans="2:2" ht="43.2" x14ac:dyDescent="0.3">
      <c r="B20" s="9" t="s">
        <v>6</v>
      </c>
    </row>
    <row r="22" spans="2:2" ht="43.2" x14ac:dyDescent="0.3">
      <c r="B22" s="9" t="s">
        <v>7</v>
      </c>
    </row>
    <row r="24" spans="2:2" ht="57.6" x14ac:dyDescent="0.3">
      <c r="B24" s="9" t="s">
        <v>8</v>
      </c>
    </row>
    <row r="26" spans="2:2" ht="57.6" x14ac:dyDescent="0.3">
      <c r="B26" s="9" t="s">
        <v>9</v>
      </c>
    </row>
    <row r="27" spans="2:2" ht="15" thickBot="1" x14ac:dyDescent="0.35">
      <c r="B27" s="69"/>
    </row>
    <row r="28" spans="2:2" ht="15" thickTop="1" x14ac:dyDescent="0.3"/>
  </sheetData>
  <pageMargins left="0.70866141732283472" right="0.70866141732283472" top="0.74803149606299213" bottom="0.74803149606299213" header="0.31496062992125984" footer="0.31496062992125984"/>
  <pageSetup paperSize="9" orientation="portrait" horizontalDpi="1200" verticalDpi="1200" r:id="rId1"/>
  <headerFooter>
    <oddFooter>&amp;L&amp;D&amp;Cالصفحة &amp;P من &amp;N&amp;Rسري - استخدام داخلي</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B7E5C-C17B-4E5F-84AF-3A1DD9B071CA}">
  <dimension ref="B2:C13"/>
  <sheetViews>
    <sheetView showGridLines="0" rightToLeft="1" zoomScaleNormal="100" workbookViewId="0">
      <selection activeCell="B2" sqref="B2"/>
    </sheetView>
  </sheetViews>
  <sheetFormatPr defaultColWidth="9.109375" defaultRowHeight="14.4" x14ac:dyDescent="0.3"/>
  <cols>
    <col min="1" max="1" width="2.88671875" style="2" customWidth="1"/>
    <col min="2" max="2" width="22" style="2" customWidth="1"/>
    <col min="3" max="3" width="83.6640625" style="2" customWidth="1"/>
    <col min="4" max="16384" width="9.109375" style="2"/>
  </cols>
  <sheetData>
    <row r="2" spans="2:3" x14ac:dyDescent="0.3">
      <c r="B2" s="3"/>
    </row>
    <row r="3" spans="2:3" x14ac:dyDescent="0.3">
      <c r="B3" s="3"/>
    </row>
    <row r="4" spans="2:3" x14ac:dyDescent="0.3">
      <c r="B4" s="3"/>
    </row>
    <row r="5" spans="2:3" x14ac:dyDescent="0.3">
      <c r="B5" s="3"/>
    </row>
    <row r="6" spans="2:3" x14ac:dyDescent="0.3">
      <c r="B6" s="3"/>
    </row>
    <row r="8" spans="2:3" ht="21" x14ac:dyDescent="0.3">
      <c r="B8" s="5" t="s">
        <v>10</v>
      </c>
      <c r="C8" s="6"/>
    </row>
    <row r="9" spans="2:3" x14ac:dyDescent="0.3">
      <c r="B9" s="6"/>
      <c r="C9" s="6"/>
    </row>
    <row r="10" spans="2:3" ht="28.8" x14ac:dyDescent="0.3">
      <c r="B10" s="7" t="s">
        <v>11</v>
      </c>
      <c r="C10" s="8" t="s">
        <v>12</v>
      </c>
    </row>
    <row r="11" spans="2:3" ht="28.8" x14ac:dyDescent="0.3">
      <c r="B11" s="7" t="s">
        <v>13</v>
      </c>
      <c r="C11" s="67" t="s">
        <v>14</v>
      </c>
    </row>
    <row r="12" spans="2:3" ht="28.8" x14ac:dyDescent="0.3">
      <c r="B12" s="7" t="s">
        <v>15</v>
      </c>
      <c r="C12" s="67" t="s">
        <v>16</v>
      </c>
    </row>
    <row r="13" spans="2:3" ht="28.8" x14ac:dyDescent="0.3">
      <c r="B13" s="7" t="s">
        <v>17</v>
      </c>
      <c r="C13" s="8" t="s">
        <v>18</v>
      </c>
    </row>
  </sheetData>
  <pageMargins left="0.70866141732283472" right="0.70866141732283472" top="0.74803149606299213" bottom="0.74803149606299213" header="0.31496062992125984" footer="0.31496062992125984"/>
  <pageSetup paperSize="9" scale="90" orientation="portrait" horizontalDpi="1200" verticalDpi="1200" r:id="rId1"/>
  <headerFooter>
    <oddFooter>&amp;L&amp;D&amp;Cالصفحة &amp;P من &amp;N&amp;Rسري - استخدام داخلي</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92B18-38F2-4F6D-AA45-9F8B2CE369B9}">
  <sheetPr>
    <pageSetUpPr fitToPage="1"/>
  </sheetPr>
  <dimension ref="B5:G121"/>
  <sheetViews>
    <sheetView showGridLines="0" rightToLeft="1" workbookViewId="0">
      <selection activeCell="C9" sqref="C9"/>
    </sheetView>
  </sheetViews>
  <sheetFormatPr defaultColWidth="9.109375" defaultRowHeight="14.4" x14ac:dyDescent="0.3"/>
  <cols>
    <col min="1" max="1" width="2.88671875" style="9" customWidth="1"/>
    <col min="2" max="2" width="37" style="9" customWidth="1"/>
    <col min="3" max="3" width="76.33203125" style="9" customWidth="1"/>
    <col min="4" max="4" width="12.109375" style="9" customWidth="1"/>
    <col min="5" max="5" width="15" style="9" customWidth="1"/>
    <col min="6" max="6" width="24.44140625" style="9" customWidth="1"/>
    <col min="7" max="7" width="32" style="9" customWidth="1"/>
    <col min="8" max="16384" width="9.109375" style="9"/>
  </cols>
  <sheetData>
    <row r="5" spans="2:7" ht="15.6" x14ac:dyDescent="0.3">
      <c r="F5" s="59"/>
    </row>
    <row r="6" spans="2:7" ht="15.6" x14ac:dyDescent="0.3">
      <c r="F6" s="59"/>
    </row>
    <row r="7" spans="2:7" ht="15.6" x14ac:dyDescent="0.3">
      <c r="F7" s="59" t="s">
        <v>19</v>
      </c>
    </row>
    <row r="8" spans="2:7" ht="21" x14ac:dyDescent="0.3">
      <c r="B8" s="60" t="s">
        <v>20</v>
      </c>
      <c r="F8" s="3" t="s">
        <v>21</v>
      </c>
    </row>
    <row r="9" spans="2:7" ht="15" customHeight="1" x14ac:dyDescent="0.3">
      <c r="B9" s="61" t="s">
        <v>22</v>
      </c>
    </row>
    <row r="10" spans="2:7" ht="15" customHeight="1" x14ac:dyDescent="0.3">
      <c r="B10" s="61"/>
    </row>
    <row r="12" spans="2:7" ht="33.75" customHeight="1" x14ac:dyDescent="0.3">
      <c r="B12" s="62" t="s">
        <v>23</v>
      </c>
      <c r="C12" s="62" t="s">
        <v>24</v>
      </c>
      <c r="D12" s="62" t="s">
        <v>25</v>
      </c>
      <c r="E12" s="62" t="s">
        <v>26</v>
      </c>
      <c r="F12" s="62" t="s">
        <v>27</v>
      </c>
      <c r="G12" s="62" t="s">
        <v>28</v>
      </c>
    </row>
    <row r="14" spans="2:7" ht="18" x14ac:dyDescent="0.3">
      <c r="B14" s="63" t="s">
        <v>29</v>
      </c>
    </row>
    <row r="15" spans="2:7" x14ac:dyDescent="0.3">
      <c r="C15" s="9" t="s">
        <v>30</v>
      </c>
      <c r="D15" s="64" t="s">
        <v>31</v>
      </c>
      <c r="E15" s="64" t="s">
        <v>31</v>
      </c>
      <c r="F15" s="65" t="s">
        <v>32</v>
      </c>
      <c r="G15" s="65" t="s">
        <v>33</v>
      </c>
    </row>
    <row r="16" spans="2:7" x14ac:dyDescent="0.3">
      <c r="C16" s="9" t="s">
        <v>34</v>
      </c>
      <c r="D16" s="64" t="s">
        <v>31</v>
      </c>
      <c r="E16" s="64" t="s">
        <v>31</v>
      </c>
      <c r="F16" s="65" t="s">
        <v>35</v>
      </c>
      <c r="G16" s="65" t="s">
        <v>36</v>
      </c>
    </row>
    <row r="17" spans="3:7" x14ac:dyDescent="0.3">
      <c r="C17" s="9" t="s">
        <v>37</v>
      </c>
      <c r="D17" s="64" t="s">
        <v>31</v>
      </c>
      <c r="E17" s="64" t="s">
        <v>38</v>
      </c>
      <c r="F17" s="65" t="s">
        <v>39</v>
      </c>
      <c r="G17" s="65" t="s">
        <v>40</v>
      </c>
    </row>
    <row r="18" spans="3:7" x14ac:dyDescent="0.3">
      <c r="C18" s="9" t="s">
        <v>41</v>
      </c>
      <c r="D18" s="64" t="s">
        <v>31</v>
      </c>
      <c r="E18" s="64" t="s">
        <v>31</v>
      </c>
      <c r="F18" s="65" t="s">
        <v>42</v>
      </c>
      <c r="G18" s="65" t="s">
        <v>43</v>
      </c>
    </row>
    <row r="19" spans="3:7" x14ac:dyDescent="0.3">
      <c r="C19" s="9" t="s">
        <v>44</v>
      </c>
      <c r="D19" s="64" t="s">
        <v>31</v>
      </c>
      <c r="E19" s="64" t="s">
        <v>31</v>
      </c>
      <c r="F19" s="65" t="s">
        <v>45</v>
      </c>
      <c r="G19" s="65" t="s">
        <v>46</v>
      </c>
    </row>
    <row r="20" spans="3:7" x14ac:dyDescent="0.3">
      <c r="C20" s="9" t="s">
        <v>47</v>
      </c>
      <c r="D20" s="64" t="s">
        <v>31</v>
      </c>
      <c r="E20" s="64" t="s">
        <v>38</v>
      </c>
      <c r="F20" s="65" t="s">
        <v>48</v>
      </c>
      <c r="G20" s="65" t="s">
        <v>49</v>
      </c>
    </row>
    <row r="21" spans="3:7" x14ac:dyDescent="0.3">
      <c r="C21" s="9" t="s">
        <v>50</v>
      </c>
      <c r="D21" s="64" t="s">
        <v>31</v>
      </c>
      <c r="E21" s="64" t="s">
        <v>38</v>
      </c>
      <c r="F21" s="65" t="s">
        <v>51</v>
      </c>
      <c r="G21" s="65" t="s">
        <v>52</v>
      </c>
    </row>
    <row r="22" spans="3:7" x14ac:dyDescent="0.3">
      <c r="C22" s="9" t="s">
        <v>53</v>
      </c>
      <c r="D22" s="64" t="s">
        <v>31</v>
      </c>
      <c r="E22" s="64" t="s">
        <v>38</v>
      </c>
      <c r="F22" s="65" t="s">
        <v>54</v>
      </c>
      <c r="G22" s="65" t="s">
        <v>55</v>
      </c>
    </row>
    <row r="23" spans="3:7" x14ac:dyDescent="0.3">
      <c r="C23" s="9" t="s">
        <v>56</v>
      </c>
      <c r="D23" s="64" t="s">
        <v>31</v>
      </c>
      <c r="E23" s="64" t="s">
        <v>31</v>
      </c>
      <c r="F23" s="65" t="s">
        <v>57</v>
      </c>
      <c r="G23" s="65" t="s">
        <v>58</v>
      </c>
    </row>
    <row r="24" spans="3:7" x14ac:dyDescent="0.3">
      <c r="C24" s="9" t="s">
        <v>59</v>
      </c>
      <c r="D24" s="64" t="s">
        <v>31</v>
      </c>
      <c r="E24" s="64" t="s">
        <v>31</v>
      </c>
      <c r="F24" s="65" t="s">
        <v>60</v>
      </c>
      <c r="G24" s="65" t="s">
        <v>61</v>
      </c>
    </row>
    <row r="25" spans="3:7" x14ac:dyDescent="0.3">
      <c r="C25" s="9" t="s">
        <v>62</v>
      </c>
      <c r="D25" s="64" t="s">
        <v>31</v>
      </c>
      <c r="E25" s="64" t="s">
        <v>31</v>
      </c>
      <c r="F25" s="65" t="s">
        <v>63</v>
      </c>
      <c r="G25" s="65" t="s">
        <v>64</v>
      </c>
    </row>
    <row r="26" spans="3:7" x14ac:dyDescent="0.3">
      <c r="C26" s="9" t="s">
        <v>65</v>
      </c>
      <c r="D26" s="64" t="s">
        <v>31</v>
      </c>
      <c r="E26" s="64" t="s">
        <v>31</v>
      </c>
      <c r="F26" s="65" t="s">
        <v>66</v>
      </c>
      <c r="G26" s="65" t="s">
        <v>67</v>
      </c>
    </row>
    <row r="27" spans="3:7" x14ac:dyDescent="0.3">
      <c r="C27" s="9" t="s">
        <v>68</v>
      </c>
      <c r="D27" s="64" t="s">
        <v>31</v>
      </c>
      <c r="E27" s="64" t="s">
        <v>38</v>
      </c>
      <c r="F27" s="65" t="s">
        <v>69</v>
      </c>
      <c r="G27" s="65" t="s">
        <v>70</v>
      </c>
    </row>
    <row r="28" spans="3:7" x14ac:dyDescent="0.3">
      <c r="C28" s="9" t="s">
        <v>71</v>
      </c>
      <c r="D28" s="64" t="s">
        <v>31</v>
      </c>
      <c r="E28" s="64" t="s">
        <v>31</v>
      </c>
      <c r="F28" s="65" t="s">
        <v>72</v>
      </c>
      <c r="G28" s="65" t="s">
        <v>73</v>
      </c>
    </row>
    <row r="29" spans="3:7" x14ac:dyDescent="0.3">
      <c r="C29" s="9" t="s">
        <v>74</v>
      </c>
      <c r="D29" s="64" t="s">
        <v>31</v>
      </c>
      <c r="E29" s="64" t="s">
        <v>38</v>
      </c>
      <c r="F29" s="65" t="s">
        <v>75</v>
      </c>
      <c r="G29" s="65" t="s">
        <v>76</v>
      </c>
    </row>
    <row r="30" spans="3:7" x14ac:dyDescent="0.3">
      <c r="C30" s="9" t="s">
        <v>77</v>
      </c>
      <c r="D30" s="64" t="s">
        <v>31</v>
      </c>
      <c r="E30" s="64" t="s">
        <v>38</v>
      </c>
      <c r="F30" s="65" t="s">
        <v>78</v>
      </c>
      <c r="G30" s="65" t="s">
        <v>79</v>
      </c>
    </row>
    <row r="31" spans="3:7" x14ac:dyDescent="0.3">
      <c r="C31" s="9" t="s">
        <v>80</v>
      </c>
      <c r="D31" s="64" t="s">
        <v>31</v>
      </c>
      <c r="E31" s="64" t="s">
        <v>38</v>
      </c>
      <c r="F31" s="65" t="s">
        <v>81</v>
      </c>
      <c r="G31" s="65" t="s">
        <v>82</v>
      </c>
    </row>
    <row r="32" spans="3:7" x14ac:dyDescent="0.3">
      <c r="C32" s="9" t="s">
        <v>83</v>
      </c>
      <c r="D32" s="64" t="s">
        <v>31</v>
      </c>
      <c r="E32" s="64" t="s">
        <v>38</v>
      </c>
      <c r="F32" s="65" t="s">
        <v>84</v>
      </c>
      <c r="G32" s="65" t="s">
        <v>85</v>
      </c>
    </row>
    <row r="33" spans="3:7" x14ac:dyDescent="0.3">
      <c r="C33" s="9" t="s">
        <v>86</v>
      </c>
      <c r="D33" s="64" t="s">
        <v>31</v>
      </c>
      <c r="E33" s="64" t="s">
        <v>38</v>
      </c>
      <c r="F33" s="65" t="s">
        <v>87</v>
      </c>
      <c r="G33" s="65" t="s">
        <v>88</v>
      </c>
    </row>
    <row r="34" spans="3:7" x14ac:dyDescent="0.3">
      <c r="C34" s="9" t="s">
        <v>89</v>
      </c>
      <c r="D34" s="64" t="s">
        <v>31</v>
      </c>
      <c r="E34" s="64" t="s">
        <v>38</v>
      </c>
      <c r="F34" s="65" t="s">
        <v>90</v>
      </c>
      <c r="G34" s="65" t="s">
        <v>91</v>
      </c>
    </row>
    <row r="35" spans="3:7" x14ac:dyDescent="0.3">
      <c r="C35" s="9" t="s">
        <v>92</v>
      </c>
      <c r="D35" s="64" t="s">
        <v>31</v>
      </c>
      <c r="E35" s="64" t="s">
        <v>38</v>
      </c>
      <c r="F35" s="65" t="s">
        <v>93</v>
      </c>
      <c r="G35" s="65" t="s">
        <v>94</v>
      </c>
    </row>
    <row r="36" spans="3:7" x14ac:dyDescent="0.3">
      <c r="C36" s="9" t="s">
        <v>95</v>
      </c>
      <c r="D36" s="64" t="s">
        <v>31</v>
      </c>
      <c r="E36" s="64" t="s">
        <v>38</v>
      </c>
      <c r="F36" s="65" t="s">
        <v>96</v>
      </c>
      <c r="G36" s="65" t="s">
        <v>97</v>
      </c>
    </row>
    <row r="37" spans="3:7" x14ac:dyDescent="0.3">
      <c r="C37" s="9" t="s">
        <v>98</v>
      </c>
      <c r="D37" s="64" t="s">
        <v>31</v>
      </c>
      <c r="E37" s="64" t="s">
        <v>38</v>
      </c>
      <c r="F37" s="65" t="s">
        <v>99</v>
      </c>
      <c r="G37" s="65" t="s">
        <v>100</v>
      </c>
    </row>
    <row r="38" spans="3:7" x14ac:dyDescent="0.3">
      <c r="C38" s="9" t="s">
        <v>101</v>
      </c>
      <c r="D38" s="64" t="s">
        <v>31</v>
      </c>
      <c r="E38" s="64" t="s">
        <v>31</v>
      </c>
      <c r="F38" s="65" t="s">
        <v>102</v>
      </c>
      <c r="G38" s="65" t="s">
        <v>103</v>
      </c>
    </row>
    <row r="39" spans="3:7" x14ac:dyDescent="0.3">
      <c r="C39" s="9" t="s">
        <v>104</v>
      </c>
      <c r="D39" s="64" t="s">
        <v>31</v>
      </c>
      <c r="E39" s="64" t="s">
        <v>38</v>
      </c>
      <c r="F39" s="65" t="s">
        <v>105</v>
      </c>
      <c r="G39" s="65" t="s">
        <v>106</v>
      </c>
    </row>
    <row r="40" spans="3:7" x14ac:dyDescent="0.3">
      <c r="C40" s="9" t="s">
        <v>107</v>
      </c>
      <c r="D40" s="64" t="s">
        <v>31</v>
      </c>
      <c r="E40" s="64" t="s">
        <v>31</v>
      </c>
      <c r="F40" s="65" t="s">
        <v>108</v>
      </c>
      <c r="G40" s="65" t="s">
        <v>109</v>
      </c>
    </row>
    <row r="41" spans="3:7" x14ac:dyDescent="0.3">
      <c r="C41" s="9" t="s">
        <v>110</v>
      </c>
      <c r="D41" s="64" t="s">
        <v>31</v>
      </c>
      <c r="E41" s="64" t="s">
        <v>31</v>
      </c>
      <c r="F41" s="65" t="s">
        <v>111</v>
      </c>
      <c r="G41" s="65" t="s">
        <v>112</v>
      </c>
    </row>
    <row r="42" spans="3:7" x14ac:dyDescent="0.3">
      <c r="C42" s="9" t="s">
        <v>113</v>
      </c>
      <c r="D42" s="64" t="s">
        <v>31</v>
      </c>
      <c r="E42" s="64" t="s">
        <v>38</v>
      </c>
      <c r="F42" s="65" t="s">
        <v>114</v>
      </c>
      <c r="G42" s="65" t="s">
        <v>115</v>
      </c>
    </row>
    <row r="43" spans="3:7" x14ac:dyDescent="0.3">
      <c r="C43" s="9" t="s">
        <v>116</v>
      </c>
      <c r="D43" s="64" t="s">
        <v>31</v>
      </c>
      <c r="E43" s="64" t="s">
        <v>38</v>
      </c>
      <c r="F43" s="65" t="s">
        <v>117</v>
      </c>
      <c r="G43" s="65" t="s">
        <v>118</v>
      </c>
    </row>
    <row r="44" spans="3:7" x14ac:dyDescent="0.3">
      <c r="C44" s="9" t="s">
        <v>119</v>
      </c>
      <c r="D44" s="64" t="s">
        <v>31</v>
      </c>
      <c r="E44" s="64" t="s">
        <v>38</v>
      </c>
      <c r="F44" s="65" t="s">
        <v>120</v>
      </c>
      <c r="G44" s="65" t="s">
        <v>121</v>
      </c>
    </row>
    <row r="45" spans="3:7" x14ac:dyDescent="0.3">
      <c r="C45" s="9" t="s">
        <v>122</v>
      </c>
      <c r="D45" s="64" t="s">
        <v>31</v>
      </c>
      <c r="E45" s="64" t="s">
        <v>38</v>
      </c>
      <c r="F45" s="65" t="s">
        <v>123</v>
      </c>
      <c r="G45" s="65" t="s">
        <v>124</v>
      </c>
    </row>
    <row r="46" spans="3:7" x14ac:dyDescent="0.3">
      <c r="C46" s="9" t="s">
        <v>125</v>
      </c>
      <c r="D46" s="64" t="s">
        <v>31</v>
      </c>
      <c r="E46" s="64" t="s">
        <v>31</v>
      </c>
      <c r="F46" s="65" t="s">
        <v>126</v>
      </c>
      <c r="G46" s="65" t="s">
        <v>127</v>
      </c>
    </row>
    <row r="47" spans="3:7" x14ac:dyDescent="0.3">
      <c r="C47" s="9" t="s">
        <v>128</v>
      </c>
      <c r="D47" s="64" t="s">
        <v>31</v>
      </c>
      <c r="E47" s="64" t="s">
        <v>31</v>
      </c>
      <c r="F47" s="65" t="s">
        <v>129</v>
      </c>
      <c r="G47" s="65" t="s">
        <v>130</v>
      </c>
    </row>
    <row r="48" spans="3:7" x14ac:dyDescent="0.3">
      <c r="C48" s="9" t="s">
        <v>131</v>
      </c>
      <c r="D48" s="64" t="s">
        <v>31</v>
      </c>
      <c r="E48" s="64" t="s">
        <v>38</v>
      </c>
      <c r="F48" s="65" t="s">
        <v>132</v>
      </c>
      <c r="G48" s="65" t="s">
        <v>133</v>
      </c>
    </row>
    <row r="49" spans="2:7" x14ac:dyDescent="0.3">
      <c r="C49" s="9" t="s">
        <v>134</v>
      </c>
      <c r="D49" s="64" t="s">
        <v>31</v>
      </c>
      <c r="E49" s="64" t="s">
        <v>31</v>
      </c>
      <c r="F49" s="65" t="s">
        <v>135</v>
      </c>
      <c r="G49" s="65" t="s">
        <v>136</v>
      </c>
    </row>
    <row r="50" spans="2:7" x14ac:dyDescent="0.3">
      <c r="C50" s="9" t="s">
        <v>137</v>
      </c>
      <c r="D50" s="64" t="s">
        <v>31</v>
      </c>
      <c r="E50" s="64" t="s">
        <v>38</v>
      </c>
      <c r="F50" s="65" t="s">
        <v>138</v>
      </c>
      <c r="G50" s="65" t="s">
        <v>139</v>
      </c>
    </row>
    <row r="51" spans="2:7" x14ac:dyDescent="0.3">
      <c r="C51" s="9" t="s">
        <v>140</v>
      </c>
      <c r="D51" s="64" t="s">
        <v>31</v>
      </c>
      <c r="E51" s="64" t="s">
        <v>31</v>
      </c>
      <c r="F51" s="65" t="s">
        <v>141</v>
      </c>
      <c r="G51" s="65" t="s">
        <v>142</v>
      </c>
    </row>
    <row r="53" spans="2:7" x14ac:dyDescent="0.3">
      <c r="B53" s="66"/>
      <c r="C53" s="11" t="s">
        <v>143</v>
      </c>
      <c r="D53" s="11">
        <f>COUNTIF(D15:D51,"نعم")</f>
        <v>37</v>
      </c>
      <c r="E53" s="11">
        <f>COUNTIF(E15:E51,"نعم")</f>
        <v>16</v>
      </c>
      <c r="F53" s="66"/>
      <c r="G53" s="66"/>
    </row>
    <row r="55" spans="2:7" ht="18" x14ac:dyDescent="0.3">
      <c r="B55" s="63" t="s">
        <v>144</v>
      </c>
    </row>
    <row r="56" spans="2:7" x14ac:dyDescent="0.3">
      <c r="C56" s="9" t="s">
        <v>145</v>
      </c>
      <c r="D56" s="64" t="s">
        <v>31</v>
      </c>
      <c r="E56" s="64" t="s">
        <v>38</v>
      </c>
      <c r="F56" s="65" t="s">
        <v>146</v>
      </c>
      <c r="G56" s="65" t="s">
        <v>147</v>
      </c>
    </row>
    <row r="57" spans="2:7" x14ac:dyDescent="0.3">
      <c r="C57" s="9" t="s">
        <v>148</v>
      </c>
      <c r="D57" s="64" t="s">
        <v>31</v>
      </c>
      <c r="E57" s="64" t="s">
        <v>31</v>
      </c>
      <c r="F57" s="65" t="s">
        <v>149</v>
      </c>
      <c r="G57" s="65" t="s">
        <v>150</v>
      </c>
    </row>
    <row r="58" spans="2:7" x14ac:dyDescent="0.3">
      <c r="C58" s="9" t="s">
        <v>151</v>
      </c>
      <c r="D58" s="64" t="s">
        <v>31</v>
      </c>
      <c r="E58" s="64" t="s">
        <v>38</v>
      </c>
      <c r="F58" s="65" t="s">
        <v>152</v>
      </c>
      <c r="G58" s="65" t="s">
        <v>153</v>
      </c>
    </row>
    <row r="59" spans="2:7" x14ac:dyDescent="0.3">
      <c r="C59" s="9" t="s">
        <v>154</v>
      </c>
      <c r="D59" s="64" t="s">
        <v>31</v>
      </c>
      <c r="E59" s="64" t="s">
        <v>31</v>
      </c>
      <c r="F59" s="65" t="s">
        <v>155</v>
      </c>
      <c r="G59" s="65" t="s">
        <v>156</v>
      </c>
    </row>
    <row r="60" spans="2:7" x14ac:dyDescent="0.3">
      <c r="C60" s="9" t="s">
        <v>157</v>
      </c>
      <c r="D60" s="64" t="s">
        <v>31</v>
      </c>
      <c r="E60" s="64" t="s">
        <v>38</v>
      </c>
      <c r="F60" s="65" t="s">
        <v>158</v>
      </c>
      <c r="G60" s="65" t="s">
        <v>159</v>
      </c>
    </row>
    <row r="61" spans="2:7" x14ac:dyDescent="0.3">
      <c r="C61" s="9" t="s">
        <v>160</v>
      </c>
      <c r="D61" s="64" t="s">
        <v>31</v>
      </c>
      <c r="E61" s="64" t="s">
        <v>31</v>
      </c>
      <c r="F61" s="65" t="s">
        <v>161</v>
      </c>
      <c r="G61" s="65" t="s">
        <v>162</v>
      </c>
    </row>
    <row r="62" spans="2:7" x14ac:dyDescent="0.3">
      <c r="C62" s="9" t="s">
        <v>163</v>
      </c>
      <c r="D62" s="64" t="s">
        <v>31</v>
      </c>
      <c r="E62" s="64" t="s">
        <v>38</v>
      </c>
      <c r="F62" s="65" t="s">
        <v>164</v>
      </c>
      <c r="G62" s="65" t="s">
        <v>165</v>
      </c>
    </row>
    <row r="63" spans="2:7" x14ac:dyDescent="0.3">
      <c r="C63" s="9" t="s">
        <v>166</v>
      </c>
      <c r="D63" s="64" t="s">
        <v>31</v>
      </c>
      <c r="E63" s="64" t="s">
        <v>38</v>
      </c>
      <c r="F63" s="65" t="s">
        <v>167</v>
      </c>
      <c r="G63" s="65" t="s">
        <v>168</v>
      </c>
    </row>
    <row r="65" spans="2:7" x14ac:dyDescent="0.3">
      <c r="B65" s="66"/>
      <c r="C65" s="11" t="s">
        <v>143</v>
      </c>
      <c r="D65" s="11">
        <f>COUNTIF(D56:D63,"نعم")</f>
        <v>8</v>
      </c>
      <c r="E65" s="11">
        <f>COUNTIF(E56:E63,"نعم")</f>
        <v>3</v>
      </c>
      <c r="F65" s="66"/>
      <c r="G65" s="66"/>
    </row>
    <row r="67" spans="2:7" ht="18" x14ac:dyDescent="0.3">
      <c r="B67" s="63" t="s">
        <v>169</v>
      </c>
    </row>
    <row r="68" spans="2:7" ht="15" customHeight="1" x14ac:dyDescent="0.3">
      <c r="B68" s="63"/>
      <c r="C68" s="9" t="s">
        <v>170</v>
      </c>
      <c r="D68" s="64" t="s">
        <v>31</v>
      </c>
      <c r="E68" s="64" t="s">
        <v>31</v>
      </c>
      <c r="F68" s="65" t="s">
        <v>171</v>
      </c>
      <c r="G68" s="65" t="s">
        <v>172</v>
      </c>
    </row>
    <row r="69" spans="2:7" ht="15" customHeight="1" x14ac:dyDescent="0.3">
      <c r="B69" s="63"/>
      <c r="C69" s="9" t="s">
        <v>173</v>
      </c>
      <c r="D69" s="64" t="s">
        <v>31</v>
      </c>
      <c r="E69" s="64" t="s">
        <v>31</v>
      </c>
      <c r="F69" s="65" t="s">
        <v>174</v>
      </c>
      <c r="G69" s="65" t="s">
        <v>175</v>
      </c>
    </row>
    <row r="70" spans="2:7" ht="15" customHeight="1" x14ac:dyDescent="0.3">
      <c r="B70" s="63"/>
      <c r="C70" s="9" t="s">
        <v>176</v>
      </c>
      <c r="D70" s="64" t="s">
        <v>31</v>
      </c>
      <c r="E70" s="64" t="s">
        <v>31</v>
      </c>
      <c r="F70" s="65" t="s">
        <v>177</v>
      </c>
      <c r="G70" s="65" t="s">
        <v>178</v>
      </c>
    </row>
    <row r="71" spans="2:7" ht="15" customHeight="1" x14ac:dyDescent="0.3">
      <c r="B71" s="63"/>
      <c r="C71" s="9" t="s">
        <v>179</v>
      </c>
      <c r="D71" s="64" t="s">
        <v>31</v>
      </c>
      <c r="E71" s="64" t="s">
        <v>38</v>
      </c>
      <c r="F71" s="65" t="s">
        <v>180</v>
      </c>
      <c r="G71" s="65" t="s">
        <v>181</v>
      </c>
    </row>
    <row r="72" spans="2:7" ht="15" customHeight="1" x14ac:dyDescent="0.3">
      <c r="B72" s="63"/>
      <c r="C72" s="9" t="s">
        <v>182</v>
      </c>
      <c r="D72" s="64" t="s">
        <v>31</v>
      </c>
      <c r="E72" s="64" t="s">
        <v>31</v>
      </c>
      <c r="F72" s="65" t="s">
        <v>183</v>
      </c>
      <c r="G72" s="65" t="s">
        <v>184</v>
      </c>
    </row>
    <row r="73" spans="2:7" ht="15" customHeight="1" x14ac:dyDescent="0.3">
      <c r="B73" s="63"/>
      <c r="C73" s="9" t="s">
        <v>185</v>
      </c>
      <c r="D73" s="64" t="s">
        <v>31</v>
      </c>
      <c r="E73" s="64" t="s">
        <v>31</v>
      </c>
      <c r="F73" s="65" t="s">
        <v>186</v>
      </c>
      <c r="G73" s="65" t="s">
        <v>187</v>
      </c>
    </row>
    <row r="74" spans="2:7" ht="15" customHeight="1" x14ac:dyDescent="0.3">
      <c r="C74" s="9" t="s">
        <v>188</v>
      </c>
      <c r="D74" s="64" t="s">
        <v>31</v>
      </c>
      <c r="E74" s="64" t="s">
        <v>38</v>
      </c>
      <c r="F74" s="65" t="s">
        <v>189</v>
      </c>
      <c r="G74" s="65" t="s">
        <v>190</v>
      </c>
    </row>
    <row r="75" spans="2:7" ht="15" customHeight="1" x14ac:dyDescent="0.3">
      <c r="C75" s="9" t="s">
        <v>191</v>
      </c>
      <c r="D75" s="64" t="s">
        <v>31</v>
      </c>
      <c r="E75" s="64" t="s">
        <v>31</v>
      </c>
      <c r="F75" s="65" t="s">
        <v>192</v>
      </c>
      <c r="G75" s="65" t="s">
        <v>193</v>
      </c>
    </row>
    <row r="76" spans="2:7" ht="15" customHeight="1" x14ac:dyDescent="0.3">
      <c r="C76" s="9" t="s">
        <v>194</v>
      </c>
      <c r="D76" s="64" t="s">
        <v>31</v>
      </c>
      <c r="E76" s="64" t="s">
        <v>38</v>
      </c>
      <c r="F76" s="65" t="s">
        <v>195</v>
      </c>
      <c r="G76" s="65" t="s">
        <v>196</v>
      </c>
    </row>
    <row r="77" spans="2:7" ht="15" customHeight="1" x14ac:dyDescent="0.3">
      <c r="C77" s="9" t="s">
        <v>197</v>
      </c>
      <c r="D77" s="64" t="s">
        <v>31</v>
      </c>
      <c r="E77" s="64" t="s">
        <v>38</v>
      </c>
      <c r="F77" s="65" t="s">
        <v>198</v>
      </c>
      <c r="G77" s="65" t="s">
        <v>199</v>
      </c>
    </row>
    <row r="78" spans="2:7" ht="15" customHeight="1" x14ac:dyDescent="0.3">
      <c r="C78" s="9" t="s">
        <v>200</v>
      </c>
      <c r="D78" s="64" t="s">
        <v>31</v>
      </c>
      <c r="E78" s="64" t="s">
        <v>38</v>
      </c>
      <c r="F78" s="65" t="s">
        <v>201</v>
      </c>
      <c r="G78" s="65" t="s">
        <v>202</v>
      </c>
    </row>
    <row r="79" spans="2:7" ht="15" customHeight="1" x14ac:dyDescent="0.3">
      <c r="C79" s="9" t="s">
        <v>203</v>
      </c>
      <c r="D79" s="64" t="s">
        <v>31</v>
      </c>
      <c r="E79" s="64" t="s">
        <v>31</v>
      </c>
      <c r="F79" s="65" t="s">
        <v>204</v>
      </c>
      <c r="G79" s="65" t="s">
        <v>205</v>
      </c>
    </row>
    <row r="80" spans="2:7" ht="15" customHeight="1" x14ac:dyDescent="0.3">
      <c r="C80" s="9" t="s">
        <v>206</v>
      </c>
      <c r="D80" s="64" t="s">
        <v>31</v>
      </c>
      <c r="E80" s="64" t="s">
        <v>31</v>
      </c>
      <c r="F80" s="65" t="s">
        <v>207</v>
      </c>
      <c r="G80" s="65" t="s">
        <v>208</v>
      </c>
    </row>
    <row r="81" spans="2:7" ht="15" customHeight="1" x14ac:dyDescent="0.3">
      <c r="C81" s="9" t="s">
        <v>209</v>
      </c>
      <c r="D81" s="64" t="s">
        <v>31</v>
      </c>
      <c r="E81" s="64" t="s">
        <v>38</v>
      </c>
      <c r="F81" s="65" t="s">
        <v>210</v>
      </c>
      <c r="G81" s="65" t="s">
        <v>211</v>
      </c>
    </row>
    <row r="83" spans="2:7" x14ac:dyDescent="0.3">
      <c r="B83" s="66"/>
      <c r="C83" s="11" t="s">
        <v>143</v>
      </c>
      <c r="D83" s="11">
        <f>COUNTIF(D68:D81,"نعم")</f>
        <v>14</v>
      </c>
      <c r="E83" s="11">
        <f>COUNTIF(E68:E81,"نعم")</f>
        <v>8</v>
      </c>
      <c r="F83" s="66"/>
      <c r="G83" s="66"/>
    </row>
    <row r="85" spans="2:7" ht="18" x14ac:dyDescent="0.3">
      <c r="B85" s="63" t="s">
        <v>212</v>
      </c>
    </row>
    <row r="86" spans="2:7" ht="15" customHeight="1" x14ac:dyDescent="0.3">
      <c r="B86" s="63"/>
      <c r="C86" s="9" t="s">
        <v>213</v>
      </c>
      <c r="D86" s="64" t="s">
        <v>31</v>
      </c>
      <c r="E86" s="64" t="s">
        <v>38</v>
      </c>
      <c r="F86" s="65" t="s">
        <v>214</v>
      </c>
      <c r="G86" s="65" t="s">
        <v>215</v>
      </c>
    </row>
    <row r="87" spans="2:7" ht="15" customHeight="1" x14ac:dyDescent="0.3">
      <c r="B87" s="63"/>
      <c r="C87" s="9" t="s">
        <v>216</v>
      </c>
      <c r="D87" s="64" t="s">
        <v>31</v>
      </c>
      <c r="E87" s="64" t="s">
        <v>38</v>
      </c>
      <c r="F87" s="65" t="s">
        <v>217</v>
      </c>
      <c r="G87" s="65" t="s">
        <v>218</v>
      </c>
    </row>
    <row r="88" spans="2:7" ht="15" customHeight="1" x14ac:dyDescent="0.3">
      <c r="B88" s="63"/>
      <c r="C88" s="9" t="s">
        <v>219</v>
      </c>
      <c r="D88" s="64" t="s">
        <v>31</v>
      </c>
      <c r="E88" s="64" t="s">
        <v>38</v>
      </c>
      <c r="F88" s="65" t="s">
        <v>220</v>
      </c>
      <c r="G88" s="65" t="s">
        <v>221</v>
      </c>
    </row>
    <row r="89" spans="2:7" ht="15" customHeight="1" x14ac:dyDescent="0.3">
      <c r="B89" s="63"/>
      <c r="C89" s="9" t="s">
        <v>222</v>
      </c>
      <c r="D89" s="64" t="s">
        <v>31</v>
      </c>
      <c r="E89" s="64" t="s">
        <v>38</v>
      </c>
      <c r="F89" s="65" t="s">
        <v>223</v>
      </c>
      <c r="G89" s="65" t="s">
        <v>224</v>
      </c>
    </row>
    <row r="90" spans="2:7" ht="15" customHeight="1" x14ac:dyDescent="0.3">
      <c r="B90" s="63"/>
      <c r="C90" s="9" t="s">
        <v>225</v>
      </c>
      <c r="D90" s="64" t="s">
        <v>31</v>
      </c>
      <c r="E90" s="64" t="s">
        <v>38</v>
      </c>
      <c r="F90" s="65" t="s">
        <v>226</v>
      </c>
      <c r="G90" s="65" t="s">
        <v>227</v>
      </c>
    </row>
    <row r="91" spans="2:7" ht="15" customHeight="1" x14ac:dyDescent="0.3">
      <c r="B91" s="63"/>
      <c r="C91" s="9" t="s">
        <v>228</v>
      </c>
      <c r="D91" s="64" t="s">
        <v>31</v>
      </c>
      <c r="E91" s="64" t="s">
        <v>31</v>
      </c>
      <c r="F91" s="65" t="s">
        <v>229</v>
      </c>
      <c r="G91" s="65" t="s">
        <v>230</v>
      </c>
    </row>
    <row r="92" spans="2:7" ht="15" customHeight="1" x14ac:dyDescent="0.3">
      <c r="B92" s="63"/>
      <c r="C92" s="9" t="s">
        <v>231</v>
      </c>
      <c r="D92" s="64" t="s">
        <v>31</v>
      </c>
      <c r="E92" s="64" t="s">
        <v>38</v>
      </c>
      <c r="F92" s="65" t="s">
        <v>232</v>
      </c>
      <c r="G92" s="65" t="s">
        <v>233</v>
      </c>
    </row>
    <row r="93" spans="2:7" ht="15" customHeight="1" x14ac:dyDescent="0.3">
      <c r="B93" s="63"/>
      <c r="C93" s="9" t="s">
        <v>234</v>
      </c>
      <c r="D93" s="64" t="s">
        <v>31</v>
      </c>
      <c r="E93" s="64" t="s">
        <v>38</v>
      </c>
      <c r="F93" s="65" t="s">
        <v>235</v>
      </c>
      <c r="G93" s="65" t="s">
        <v>236</v>
      </c>
    </row>
    <row r="94" spans="2:7" ht="15" customHeight="1" x14ac:dyDescent="0.3">
      <c r="B94" s="63"/>
      <c r="C94" s="9" t="s">
        <v>237</v>
      </c>
      <c r="D94" s="64" t="s">
        <v>31</v>
      </c>
      <c r="E94" s="64" t="s">
        <v>38</v>
      </c>
      <c r="F94" s="65" t="s">
        <v>238</v>
      </c>
      <c r="G94" s="65" t="s">
        <v>239</v>
      </c>
    </row>
    <row r="95" spans="2:7" ht="15" customHeight="1" x14ac:dyDescent="0.3">
      <c r="B95" s="63"/>
      <c r="C95" s="9" t="s">
        <v>240</v>
      </c>
      <c r="D95" s="64" t="s">
        <v>31</v>
      </c>
      <c r="E95" s="64" t="s">
        <v>38</v>
      </c>
      <c r="F95" s="65" t="s">
        <v>241</v>
      </c>
      <c r="G95" s="65" t="s">
        <v>242</v>
      </c>
    </row>
    <row r="96" spans="2:7" ht="15" customHeight="1" x14ac:dyDescent="0.3">
      <c r="B96" s="63"/>
      <c r="C96" s="9" t="s">
        <v>243</v>
      </c>
      <c r="D96" s="64" t="s">
        <v>31</v>
      </c>
      <c r="E96" s="64" t="s">
        <v>38</v>
      </c>
      <c r="F96" s="65" t="s">
        <v>244</v>
      </c>
      <c r="G96" s="65" t="s">
        <v>245</v>
      </c>
    </row>
    <row r="97" spans="2:7" ht="15" customHeight="1" x14ac:dyDescent="0.3">
      <c r="B97" s="63"/>
      <c r="C97" s="9" t="s">
        <v>246</v>
      </c>
      <c r="D97" s="64" t="s">
        <v>31</v>
      </c>
      <c r="E97" s="64" t="s">
        <v>38</v>
      </c>
      <c r="F97" s="65" t="s">
        <v>247</v>
      </c>
      <c r="G97" s="65" t="s">
        <v>248</v>
      </c>
    </row>
    <row r="98" spans="2:7" ht="15" customHeight="1" x14ac:dyDescent="0.3">
      <c r="B98" s="63"/>
      <c r="C98" s="9" t="s">
        <v>249</v>
      </c>
      <c r="D98" s="64" t="s">
        <v>31</v>
      </c>
      <c r="E98" s="64" t="s">
        <v>38</v>
      </c>
      <c r="F98" s="65" t="s">
        <v>250</v>
      </c>
      <c r="G98" s="65" t="s">
        <v>251</v>
      </c>
    </row>
    <row r="99" spans="2:7" ht="15" customHeight="1" x14ac:dyDescent="0.3">
      <c r="B99" s="63"/>
      <c r="C99" s="9" t="s">
        <v>252</v>
      </c>
      <c r="D99" s="64" t="s">
        <v>31</v>
      </c>
      <c r="E99" s="64" t="s">
        <v>38</v>
      </c>
      <c r="F99" s="65" t="s">
        <v>253</v>
      </c>
      <c r="G99" s="65" t="s">
        <v>254</v>
      </c>
    </row>
    <row r="100" spans="2:7" ht="15" customHeight="1" x14ac:dyDescent="0.3">
      <c r="B100" s="63"/>
      <c r="C100" s="9" t="s">
        <v>255</v>
      </c>
      <c r="D100" s="64" t="s">
        <v>31</v>
      </c>
      <c r="E100" s="64" t="s">
        <v>38</v>
      </c>
      <c r="F100" s="65" t="s">
        <v>256</v>
      </c>
      <c r="G100" s="65" t="s">
        <v>257</v>
      </c>
    </row>
    <row r="101" spans="2:7" ht="15" customHeight="1" x14ac:dyDescent="0.3">
      <c r="B101" s="63"/>
      <c r="C101" s="9" t="s">
        <v>258</v>
      </c>
      <c r="D101" s="64" t="s">
        <v>31</v>
      </c>
      <c r="E101" s="64" t="s">
        <v>38</v>
      </c>
      <c r="F101" s="65" t="s">
        <v>259</v>
      </c>
      <c r="G101" s="65" t="s">
        <v>260</v>
      </c>
    </row>
    <row r="102" spans="2:7" ht="15" customHeight="1" x14ac:dyDescent="0.3">
      <c r="B102" s="63"/>
      <c r="C102" s="9" t="s">
        <v>261</v>
      </c>
      <c r="D102" s="64" t="s">
        <v>31</v>
      </c>
      <c r="E102" s="64" t="s">
        <v>31</v>
      </c>
      <c r="F102" s="65" t="s">
        <v>262</v>
      </c>
      <c r="G102" s="65" t="s">
        <v>263</v>
      </c>
    </row>
    <row r="103" spans="2:7" ht="15" customHeight="1" x14ac:dyDescent="0.3">
      <c r="B103" s="63"/>
      <c r="C103" s="9" t="s">
        <v>264</v>
      </c>
      <c r="D103" s="64" t="s">
        <v>31</v>
      </c>
      <c r="E103" s="64" t="s">
        <v>38</v>
      </c>
      <c r="F103" s="65" t="s">
        <v>265</v>
      </c>
      <c r="G103" s="65" t="s">
        <v>266</v>
      </c>
    </row>
    <row r="104" spans="2:7" ht="15" customHeight="1" x14ac:dyDescent="0.3">
      <c r="B104" s="63"/>
      <c r="C104" s="9" t="s">
        <v>267</v>
      </c>
      <c r="D104" s="64" t="s">
        <v>31</v>
      </c>
      <c r="E104" s="64" t="s">
        <v>31</v>
      </c>
      <c r="F104" s="65" t="s">
        <v>268</v>
      </c>
      <c r="G104" s="65" t="s">
        <v>269</v>
      </c>
    </row>
    <row r="105" spans="2:7" ht="15" customHeight="1" x14ac:dyDescent="0.3">
      <c r="B105" s="63"/>
      <c r="C105" s="9" t="s">
        <v>270</v>
      </c>
      <c r="D105" s="64" t="s">
        <v>31</v>
      </c>
      <c r="E105" s="64" t="s">
        <v>31</v>
      </c>
      <c r="F105" s="65" t="s">
        <v>271</v>
      </c>
      <c r="G105" s="65" t="s">
        <v>272</v>
      </c>
    </row>
    <row r="106" spans="2:7" ht="15" customHeight="1" x14ac:dyDescent="0.3">
      <c r="B106" s="63"/>
      <c r="C106" s="9" t="s">
        <v>273</v>
      </c>
      <c r="D106" s="64" t="s">
        <v>31</v>
      </c>
      <c r="E106" s="64" t="s">
        <v>31</v>
      </c>
      <c r="F106" s="65" t="s">
        <v>274</v>
      </c>
      <c r="G106" s="65" t="s">
        <v>275</v>
      </c>
    </row>
    <row r="107" spans="2:7" ht="15" customHeight="1" x14ac:dyDescent="0.3">
      <c r="B107" s="63"/>
      <c r="C107" s="9" t="s">
        <v>276</v>
      </c>
      <c r="D107" s="64" t="s">
        <v>31</v>
      </c>
      <c r="E107" s="64" t="s">
        <v>38</v>
      </c>
      <c r="F107" s="65" t="s">
        <v>277</v>
      </c>
      <c r="G107" s="65" t="s">
        <v>278</v>
      </c>
    </row>
    <row r="108" spans="2:7" ht="15" customHeight="1" x14ac:dyDescent="0.3">
      <c r="B108" s="63"/>
      <c r="C108" s="9" t="s">
        <v>279</v>
      </c>
      <c r="D108" s="64" t="s">
        <v>31</v>
      </c>
      <c r="E108" s="64" t="s">
        <v>38</v>
      </c>
      <c r="F108" s="65" t="s">
        <v>280</v>
      </c>
      <c r="G108" s="65" t="s">
        <v>281</v>
      </c>
    </row>
    <row r="109" spans="2:7" ht="15" customHeight="1" x14ac:dyDescent="0.3">
      <c r="B109" s="63"/>
      <c r="C109" s="9" t="s">
        <v>282</v>
      </c>
      <c r="D109" s="64" t="s">
        <v>31</v>
      </c>
      <c r="E109" s="64" t="s">
        <v>38</v>
      </c>
      <c r="F109" s="65" t="s">
        <v>283</v>
      </c>
      <c r="G109" s="65" t="s">
        <v>284</v>
      </c>
    </row>
    <row r="110" spans="2:7" ht="15" customHeight="1" x14ac:dyDescent="0.3">
      <c r="B110" s="63"/>
      <c r="C110" s="9" t="s">
        <v>285</v>
      </c>
      <c r="D110" s="64" t="s">
        <v>31</v>
      </c>
      <c r="E110" s="64" t="s">
        <v>38</v>
      </c>
      <c r="F110" s="65" t="s">
        <v>286</v>
      </c>
      <c r="G110" s="65" t="s">
        <v>287</v>
      </c>
    </row>
    <row r="111" spans="2:7" ht="15" customHeight="1" x14ac:dyDescent="0.3">
      <c r="B111" s="63"/>
      <c r="C111" s="9" t="s">
        <v>288</v>
      </c>
      <c r="D111" s="64" t="s">
        <v>31</v>
      </c>
      <c r="E111" s="64" t="s">
        <v>38</v>
      </c>
      <c r="F111" s="65" t="s">
        <v>289</v>
      </c>
      <c r="G111" s="65" t="s">
        <v>290</v>
      </c>
    </row>
    <row r="112" spans="2:7" ht="15" customHeight="1" x14ac:dyDescent="0.3">
      <c r="B112" s="63"/>
      <c r="C112" s="9" t="s">
        <v>291</v>
      </c>
      <c r="D112" s="64" t="s">
        <v>31</v>
      </c>
      <c r="E112" s="64" t="s">
        <v>38</v>
      </c>
      <c r="F112" s="65" t="s">
        <v>292</v>
      </c>
      <c r="G112" s="65" t="s">
        <v>293</v>
      </c>
    </row>
    <row r="113" spans="2:7" ht="15" customHeight="1" x14ac:dyDescent="0.3">
      <c r="B113" s="63"/>
      <c r="C113" s="9" t="s">
        <v>294</v>
      </c>
      <c r="D113" s="64" t="s">
        <v>31</v>
      </c>
      <c r="E113" s="64" t="s">
        <v>38</v>
      </c>
      <c r="F113" s="65" t="s">
        <v>295</v>
      </c>
      <c r="G113" s="65" t="s">
        <v>296</v>
      </c>
    </row>
    <row r="114" spans="2:7" ht="15" customHeight="1" x14ac:dyDescent="0.3">
      <c r="B114" s="63"/>
      <c r="C114" s="9" t="s">
        <v>297</v>
      </c>
      <c r="D114" s="64" t="s">
        <v>31</v>
      </c>
      <c r="E114" s="64" t="s">
        <v>38</v>
      </c>
      <c r="F114" s="65" t="s">
        <v>298</v>
      </c>
      <c r="G114" s="65" t="s">
        <v>299</v>
      </c>
    </row>
    <row r="115" spans="2:7" ht="15" customHeight="1" x14ac:dyDescent="0.3">
      <c r="B115" s="63"/>
      <c r="C115" s="9" t="s">
        <v>300</v>
      </c>
      <c r="D115" s="64" t="s">
        <v>31</v>
      </c>
      <c r="E115" s="64" t="s">
        <v>38</v>
      </c>
      <c r="F115" s="65" t="s">
        <v>301</v>
      </c>
      <c r="G115" s="65" t="s">
        <v>302</v>
      </c>
    </row>
    <row r="116" spans="2:7" ht="15" customHeight="1" x14ac:dyDescent="0.3">
      <c r="C116" s="9" t="s">
        <v>303</v>
      </c>
      <c r="D116" s="64" t="s">
        <v>31</v>
      </c>
      <c r="E116" s="64" t="s">
        <v>38</v>
      </c>
      <c r="F116" s="65" t="s">
        <v>304</v>
      </c>
      <c r="G116" s="65" t="s">
        <v>305</v>
      </c>
    </row>
    <row r="117" spans="2:7" ht="15" customHeight="1" x14ac:dyDescent="0.3">
      <c r="C117" s="9" t="s">
        <v>306</v>
      </c>
      <c r="D117" s="64" t="s">
        <v>31</v>
      </c>
      <c r="E117" s="64" t="s">
        <v>38</v>
      </c>
      <c r="F117" s="65" t="s">
        <v>307</v>
      </c>
      <c r="G117" s="65" t="s">
        <v>308</v>
      </c>
    </row>
    <row r="118" spans="2:7" ht="15" customHeight="1" x14ac:dyDescent="0.3">
      <c r="C118" s="9" t="s">
        <v>309</v>
      </c>
      <c r="D118" s="64" t="s">
        <v>31</v>
      </c>
      <c r="E118" s="64" t="s">
        <v>38</v>
      </c>
      <c r="F118" s="65" t="s">
        <v>310</v>
      </c>
      <c r="G118" s="65" t="s">
        <v>311</v>
      </c>
    </row>
    <row r="119" spans="2:7" ht="15" customHeight="1" x14ac:dyDescent="0.3">
      <c r="C119" s="9" t="s">
        <v>312</v>
      </c>
      <c r="D119" s="64" t="s">
        <v>31</v>
      </c>
      <c r="E119" s="64" t="s">
        <v>31</v>
      </c>
      <c r="F119" s="65" t="s">
        <v>313</v>
      </c>
      <c r="G119" s="65" t="s">
        <v>314</v>
      </c>
    </row>
    <row r="121" spans="2:7" x14ac:dyDescent="0.3">
      <c r="B121" s="66"/>
      <c r="C121" s="11" t="s">
        <v>143</v>
      </c>
      <c r="D121" s="11">
        <f>COUNTIF(D86:D119,"نعم")</f>
        <v>34</v>
      </c>
      <c r="E121" s="11">
        <f>COUNTIF(E86:E119,"نعم")</f>
        <v>6</v>
      </c>
      <c r="F121" s="66"/>
      <c r="G121" s="66"/>
    </row>
  </sheetData>
  <dataValidations count="1">
    <dataValidation type="list" allowBlank="1" showInputMessage="1" showErrorMessage="1" sqref="D15:E51 D56:E63 D68:E81 D86:E119" xr:uid="{86130246-2006-4A66-B1D3-2E754C25AD1E}">
      <formula1>"نعم,لا"</formula1>
    </dataValidation>
  </dataValidations>
  <pageMargins left="0.70866141732283472" right="0.70866141732283472" top="0.74803149606299213" bottom="0.74803149606299213" header="0.31496062992125984" footer="0.31496062992125984"/>
  <pageSetup paperSize="9" scale="64" fitToHeight="0" orientation="landscape" horizontalDpi="1200" verticalDpi="1200" r:id="rId1"/>
  <headerFooter>
    <oddFooter>&amp;L&amp;D&amp;Cالصفحة &amp;P من &amp;N&amp;Rسري - استخدام داخلي</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9251-5F92-467A-B59C-45BE7C5B9F60}">
  <sheetPr>
    <pageSetUpPr fitToPage="1"/>
  </sheetPr>
  <dimension ref="A2:AH44"/>
  <sheetViews>
    <sheetView showGridLines="0" rightToLeft="1" zoomScale="40" zoomScaleNormal="40" workbookViewId="0">
      <selection activeCell="B8" sqref="B8"/>
    </sheetView>
  </sheetViews>
  <sheetFormatPr defaultColWidth="9.109375" defaultRowHeight="14.4" x14ac:dyDescent="0.3"/>
  <cols>
    <col min="1" max="1" width="2.88671875" style="2" customWidth="1"/>
    <col min="2" max="2" width="101" style="2" bestFit="1" customWidth="1"/>
    <col min="3" max="3" width="10.109375" style="2" bestFit="1" customWidth="1"/>
    <col min="4" max="4" width="11.77734375" style="2" bestFit="1" customWidth="1"/>
    <col min="5" max="5" width="11.21875" style="2" bestFit="1" customWidth="1"/>
    <col min="6" max="6" width="12.109375" style="2" bestFit="1" customWidth="1"/>
    <col min="7" max="7" width="15.5546875" style="2" bestFit="1" customWidth="1"/>
    <col min="8" max="8" width="5.6640625" style="2" customWidth="1"/>
    <col min="9" max="9" width="79.33203125" style="2" bestFit="1" customWidth="1"/>
    <col min="10" max="16384" width="9.109375" style="2"/>
  </cols>
  <sheetData>
    <row r="2" spans="2:34" x14ac:dyDescent="0.3">
      <c r="B2" s="3"/>
    </row>
    <row r="3" spans="2:34" x14ac:dyDescent="0.3">
      <c r="B3" s="3"/>
    </row>
    <row r="4" spans="2:34" x14ac:dyDescent="0.3">
      <c r="B4" s="3"/>
    </row>
    <row r="5" spans="2:34" x14ac:dyDescent="0.3">
      <c r="B5" s="3"/>
    </row>
    <row r="6" spans="2:34" x14ac:dyDescent="0.3">
      <c r="B6" s="3"/>
    </row>
    <row r="7" spans="2:34" x14ac:dyDescent="0.3">
      <c r="B7" s="3"/>
    </row>
    <row r="8" spans="2:34" customFormat="1" ht="21" x14ac:dyDescent="0.4">
      <c r="B8" s="48" t="s">
        <v>315</v>
      </c>
      <c r="AA8" s="24"/>
      <c r="AB8" s="24"/>
      <c r="AC8" s="24"/>
      <c r="AD8" s="24"/>
      <c r="AE8" s="24"/>
      <c r="AF8" s="24"/>
      <c r="AG8" s="24"/>
      <c r="AH8" s="24"/>
    </row>
    <row r="9" spans="2:34" ht="15.6" x14ac:dyDescent="0.3">
      <c r="B9" s="49" t="s">
        <v>316</v>
      </c>
    </row>
    <row r="10" spans="2:34" x14ac:dyDescent="0.3">
      <c r="B10" s="3"/>
    </row>
    <row r="11" spans="2:34" ht="21.9" customHeight="1" x14ac:dyDescent="0.3">
      <c r="B11" s="50" t="s">
        <v>317</v>
      </c>
      <c r="C11" s="25"/>
      <c r="E11" s="25"/>
      <c r="F11" s="25"/>
    </row>
    <row r="12" spans="2:34" x14ac:dyDescent="0.3">
      <c r="B12" s="1"/>
    </row>
    <row r="13" spans="2:34" ht="30" customHeight="1" x14ac:dyDescent="0.3">
      <c r="B13" s="51" t="s">
        <v>318</v>
      </c>
      <c r="C13" s="52" t="s">
        <v>319</v>
      </c>
      <c r="D13" s="52" t="s">
        <v>320</v>
      </c>
      <c r="E13" s="52" t="s">
        <v>321</v>
      </c>
      <c r="F13" s="52" t="s">
        <v>322</v>
      </c>
      <c r="G13" s="52" t="s">
        <v>323</v>
      </c>
      <c r="H13" s="14"/>
      <c r="I13" s="26" t="s">
        <v>324</v>
      </c>
      <c r="J13" s="27"/>
      <c r="K13" s="27"/>
      <c r="L13" s="27"/>
      <c r="M13" s="27"/>
      <c r="N13" s="27"/>
      <c r="O13" s="27"/>
      <c r="P13" s="27"/>
      <c r="Q13" s="27"/>
      <c r="R13" s="27"/>
      <c r="S13" s="27"/>
      <c r="T13" s="27"/>
      <c r="U13" s="27"/>
      <c r="V13" s="27"/>
      <c r="W13" s="27"/>
      <c r="X13" s="27"/>
      <c r="Y13" s="27"/>
      <c r="Z13" s="27"/>
    </row>
    <row r="14" spans="2:34" x14ac:dyDescent="0.3">
      <c r="B14" s="9" t="s">
        <v>29</v>
      </c>
      <c r="C14" s="3">
        <v>37</v>
      </c>
      <c r="D14" s="52">
        <f>'ISO27001 Annex A Applicability'!D53</f>
        <v>37</v>
      </c>
      <c r="E14" s="53">
        <f>ISO27001ApplicabilityTableResults11[[#This Row],[الضوابط القابلة للتطبيق]]/ISO27001ApplicabilityTableResults11[[#This Row],[عدد الضوابط]]</f>
        <v>1</v>
      </c>
      <c r="F14" s="52">
        <f>'ISO27001 Annex A Applicability'!E53</f>
        <v>16</v>
      </c>
      <c r="G14" s="54">
        <f>IF(D14=0,1,+F14/D14)</f>
        <v>0.43243243243243246</v>
      </c>
      <c r="H14" s="22"/>
      <c r="I14" s="22"/>
    </row>
    <row r="15" spans="2:34" x14ac:dyDescent="0.3">
      <c r="B15" s="3" t="s">
        <v>144</v>
      </c>
      <c r="C15" s="3">
        <v>8</v>
      </c>
      <c r="D15" s="52">
        <f>'ISO27001 Annex A Applicability'!D65</f>
        <v>8</v>
      </c>
      <c r="E15" s="53">
        <f>ISO27001ApplicabilityTableResults11[[#This Row],[الضوابط القابلة للتطبيق]]/ISO27001ApplicabilityTableResults11[[#This Row],[عدد الضوابط]]</f>
        <v>1</v>
      </c>
      <c r="F15" s="52">
        <f>'ISO27001 Annex A Applicability'!E65</f>
        <v>3</v>
      </c>
      <c r="G15" s="54">
        <f t="shared" ref="G15:G17" si="0">IF(D15=0,1,+F15/D15)</f>
        <v>0.375</v>
      </c>
      <c r="H15" s="22"/>
      <c r="I15" s="22"/>
    </row>
    <row r="16" spans="2:34" x14ac:dyDescent="0.3">
      <c r="B16" s="9" t="s">
        <v>169</v>
      </c>
      <c r="C16" s="3">
        <v>14</v>
      </c>
      <c r="D16" s="52">
        <f>'ISO27001 Annex A Applicability'!D83</f>
        <v>14</v>
      </c>
      <c r="E16" s="53">
        <f>ISO27001ApplicabilityTableResults11[[#This Row],[الضوابط القابلة للتطبيق]]/ISO27001ApplicabilityTableResults11[[#This Row],[عدد الضوابط]]</f>
        <v>1</v>
      </c>
      <c r="F16" s="52">
        <f>'ISO27001 Annex A Applicability'!E83</f>
        <v>8</v>
      </c>
      <c r="G16" s="54">
        <f t="shared" si="0"/>
        <v>0.5714285714285714</v>
      </c>
      <c r="H16" s="22"/>
      <c r="I16" s="22"/>
    </row>
    <row r="17" spans="1:9" x14ac:dyDescent="0.3">
      <c r="B17" s="3" t="s">
        <v>212</v>
      </c>
      <c r="C17" s="3">
        <v>34</v>
      </c>
      <c r="D17" s="52">
        <f>'ISO27001 Annex A Applicability'!D121</f>
        <v>34</v>
      </c>
      <c r="E17" s="53">
        <f>ISO27001ApplicabilityTableResults11[[#This Row],[الضوابط القابلة للتطبيق]]/ISO27001ApplicabilityTableResults11[[#This Row],[عدد الضوابط]]</f>
        <v>1</v>
      </c>
      <c r="F17" s="52">
        <f>'ISO27001 Annex A Applicability'!E121</f>
        <v>6</v>
      </c>
      <c r="G17" s="54">
        <f t="shared" si="0"/>
        <v>0.17647058823529413</v>
      </c>
      <c r="H17" s="22"/>
      <c r="I17" s="22"/>
    </row>
    <row r="18" spans="1:9" x14ac:dyDescent="0.3">
      <c r="B18" s="55" t="s">
        <v>325</v>
      </c>
      <c r="C18" s="56">
        <f ca="1">SUBTOTAL(109,ISO27001ApplicabilityTableResults11[عدد الضوابط])</f>
        <v>93</v>
      </c>
      <c r="D18" s="57">
        <f ca="1">SUBTOTAL(109,ISO27001ApplicabilityTableResults11[الضوابط القابلة للتطبيق])</f>
        <v>93</v>
      </c>
      <c r="E18" s="58">
        <f ca="1">SUBTOTAL(101,ISO27001ApplicabilityTableResults11[نسبة الضوابط القابلة للتطبيق])</f>
        <v>1</v>
      </c>
      <c r="F18" s="57">
        <f ca="1">SUBTOTAL(109,ISO27001ApplicabilityTableResults11[الضوابط المنفذة])</f>
        <v>93</v>
      </c>
      <c r="G18" s="58">
        <f ca="1">SUBTOTAL(101,ISO27001ApplicabilityTableResults11[نسبة تنفيذ الضوابط القابلة للتطبيق])</f>
        <v>1</v>
      </c>
      <c r="H18" s="22"/>
      <c r="I18" s="22"/>
    </row>
    <row r="19" spans="1:9" x14ac:dyDescent="0.3">
      <c r="B19" s="29"/>
      <c r="C19" s="17"/>
      <c r="D19" s="17"/>
      <c r="E19" s="30"/>
      <c r="F19" s="28"/>
      <c r="H19" s="22"/>
      <c r="I19" s="22"/>
    </row>
    <row r="20" spans="1:9" x14ac:dyDescent="0.3">
      <c r="C20" s="12"/>
      <c r="D20" s="12"/>
      <c r="E20" s="12"/>
      <c r="F20" s="28"/>
      <c r="H20" s="22"/>
      <c r="I20" s="22"/>
    </row>
    <row r="21" spans="1:9" x14ac:dyDescent="0.3">
      <c r="C21" s="12"/>
      <c r="D21" s="12"/>
      <c r="E21" s="12"/>
      <c r="F21" s="28"/>
      <c r="H21" s="22"/>
      <c r="I21" s="22"/>
    </row>
    <row r="22" spans="1:9" ht="18" x14ac:dyDescent="0.3">
      <c r="B22" s="35" t="s">
        <v>326</v>
      </c>
      <c r="C22" s="31"/>
      <c r="D22" s="31"/>
      <c r="E22" s="31"/>
      <c r="F22" s="46"/>
      <c r="G22" s="27"/>
      <c r="H22" s="22"/>
      <c r="I22" s="22"/>
    </row>
    <row r="23" spans="1:9" x14ac:dyDescent="0.3">
      <c r="C23" s="12"/>
      <c r="D23" s="12"/>
      <c r="E23" s="12"/>
      <c r="F23" s="28"/>
      <c r="H23" s="22"/>
      <c r="I23" s="22"/>
    </row>
    <row r="24" spans="1:9" x14ac:dyDescent="0.3">
      <c r="H24" s="22"/>
      <c r="I24" s="22"/>
    </row>
    <row r="25" spans="1:9" x14ac:dyDescent="0.3">
      <c r="A25" s="4"/>
      <c r="H25" s="22"/>
      <c r="I25" s="22"/>
    </row>
    <row r="26" spans="1:9" x14ac:dyDescent="0.3">
      <c r="A26" s="4"/>
      <c r="H26" s="22"/>
      <c r="I26" s="22"/>
    </row>
    <row r="27" spans="1:9" x14ac:dyDescent="0.3">
      <c r="H27" s="22"/>
      <c r="I27" s="22"/>
    </row>
    <row r="28" spans="1:9" x14ac:dyDescent="0.3">
      <c r="H28" s="23"/>
      <c r="I28" s="23"/>
    </row>
    <row r="32" spans="1:9" ht="21.9" customHeight="1" x14ac:dyDescent="0.3"/>
    <row r="38" spans="8:26" ht="18" x14ac:dyDescent="0.3">
      <c r="I38" s="26" t="s">
        <v>327</v>
      </c>
      <c r="J38" s="27"/>
      <c r="K38" s="32"/>
      <c r="L38" s="32"/>
      <c r="M38" s="32"/>
      <c r="N38" s="32"/>
      <c r="O38" s="32"/>
      <c r="P38" s="32"/>
      <c r="Q38" s="32"/>
      <c r="R38" s="32"/>
      <c r="S38" s="32"/>
      <c r="T38" s="32"/>
      <c r="U38" s="32"/>
      <c r="V38" s="32"/>
      <c r="W38" s="27"/>
      <c r="X38" s="27"/>
      <c r="Y38" s="27"/>
      <c r="Z38" s="27"/>
    </row>
    <row r="44" spans="8:26" ht="20.100000000000001" customHeight="1" x14ac:dyDescent="0.3">
      <c r="H44" s="45"/>
      <c r="I44" s="45"/>
      <c r="J44" s="47"/>
      <c r="K44" s="45"/>
      <c r="L44" s="47"/>
      <c r="M44" s="47"/>
      <c r="N44" s="47"/>
      <c r="O44" s="47"/>
      <c r="P44" s="47"/>
      <c r="Q44" s="47"/>
      <c r="R44" s="47"/>
      <c r="S44" s="47"/>
      <c r="T44" s="47"/>
      <c r="U44" s="47"/>
      <c r="V44" s="47"/>
    </row>
  </sheetData>
  <phoneticPr fontId="16" type="noConversion"/>
  <pageMargins left="0.23622047244094491" right="0.23622047244094491" top="0.39370078740157483" bottom="0.39370078740157483" header="0.19685039370078741" footer="0.19685039370078741"/>
  <pageSetup paperSize="9" scale="43" orientation="landscape" horizontalDpi="360" verticalDpi="360"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7C9C5-1696-4DF4-B1FA-A096827B4828}">
  <dimension ref="B4:G11"/>
  <sheetViews>
    <sheetView showGridLines="0" workbookViewId="0"/>
  </sheetViews>
  <sheetFormatPr defaultColWidth="9.109375" defaultRowHeight="14.4" x14ac:dyDescent="0.3"/>
  <cols>
    <col min="1" max="1" width="2.88671875" style="13" customWidth="1"/>
    <col min="2" max="2" width="67.109375" style="13" customWidth="1"/>
    <col min="3" max="4" width="12.6640625" style="18" customWidth="1"/>
    <col min="5" max="5" width="12.6640625" style="14" customWidth="1"/>
    <col min="6" max="6" width="14.6640625" style="18" customWidth="1"/>
    <col min="7" max="7" width="19.33203125" style="18" customWidth="1"/>
    <col min="8" max="16384" width="9.109375" style="13"/>
  </cols>
  <sheetData>
    <row r="4" spans="2:7" ht="18" x14ac:dyDescent="0.3">
      <c r="B4" s="15" t="s">
        <v>328</v>
      </c>
    </row>
    <row r="6" spans="2:7" ht="28.8" x14ac:dyDescent="0.3">
      <c r="B6" s="13" t="s">
        <v>318</v>
      </c>
      <c r="C6" s="14" t="s">
        <v>319</v>
      </c>
      <c r="D6" s="14" t="s">
        <v>320</v>
      </c>
      <c r="E6" s="14" t="s">
        <v>321</v>
      </c>
      <c r="F6" s="14" t="s">
        <v>322</v>
      </c>
      <c r="G6" s="14" t="s">
        <v>323</v>
      </c>
    </row>
    <row r="7" spans="2:7" x14ac:dyDescent="0.3">
      <c r="B7" s="10" t="s">
        <v>29</v>
      </c>
      <c r="C7" s="12">
        <v>37</v>
      </c>
      <c r="D7" s="18">
        <f>'ISO27001 Annex A Applicability'!D53</f>
        <v>37</v>
      </c>
      <c r="E7" s="20">
        <f>ISO27001ApplicabilityTableResults[[#This Row],[الضوابط القابلة للتطبيق]]/ISO27001ApplicabilityTableResults[[#This Row],[عدد الضوابط]]</f>
        <v>1</v>
      </c>
      <c r="F7" s="18">
        <f>'ISO27001 Annex A Applicability'!E53</f>
        <v>16</v>
      </c>
      <c r="G7" s="22">
        <f>IF(D7=0,1,+F7/D7)</f>
        <v>0.43243243243243246</v>
      </c>
    </row>
    <row r="8" spans="2:7" x14ac:dyDescent="0.3">
      <c r="B8" s="4" t="s">
        <v>144</v>
      </c>
      <c r="C8" s="12">
        <v>8</v>
      </c>
      <c r="D8" s="18">
        <f>'ISO27001 Annex A Applicability'!D65</f>
        <v>8</v>
      </c>
      <c r="E8" s="20">
        <f>ISO27001ApplicabilityTableResults[[#This Row],[الضوابط القابلة للتطبيق]]/ISO27001ApplicabilityTableResults[[#This Row],[عدد الضوابط]]</f>
        <v>1</v>
      </c>
      <c r="F8" s="18">
        <f>'ISO27001 Annex A Applicability'!E65</f>
        <v>3</v>
      </c>
      <c r="G8" s="22">
        <f t="shared" ref="G8:G10" si="0">IF(D8=0,1,+F8/D8)</f>
        <v>0.375</v>
      </c>
    </row>
    <row r="9" spans="2:7" x14ac:dyDescent="0.3">
      <c r="B9" s="10" t="s">
        <v>169</v>
      </c>
      <c r="C9" s="12">
        <v>14</v>
      </c>
      <c r="D9" s="18">
        <f>'ISO27001 Annex A Applicability'!D83</f>
        <v>14</v>
      </c>
      <c r="E9" s="20">
        <f>ISO27001ApplicabilityTableResults[[#This Row],[الضوابط القابلة للتطبيق]]/ISO27001ApplicabilityTableResults[[#This Row],[عدد الضوابط]]</f>
        <v>1</v>
      </c>
      <c r="F9" s="18">
        <f>'ISO27001 Annex A Applicability'!E83</f>
        <v>8</v>
      </c>
      <c r="G9" s="22">
        <f t="shared" si="0"/>
        <v>0.5714285714285714</v>
      </c>
    </row>
    <row r="10" spans="2:7" x14ac:dyDescent="0.3">
      <c r="B10" s="4" t="s">
        <v>212</v>
      </c>
      <c r="C10" s="12">
        <v>34</v>
      </c>
      <c r="D10" s="18">
        <f>'ISO27001 Annex A Applicability'!D121</f>
        <v>34</v>
      </c>
      <c r="E10" s="20">
        <f>ISO27001ApplicabilityTableResults[[#This Row],[الضوابط القابلة للتطبيق]]/ISO27001ApplicabilityTableResults[[#This Row],[عدد الضوابط]]</f>
        <v>1</v>
      </c>
      <c r="F10" s="18">
        <f>'ISO27001 Annex A Applicability'!E121</f>
        <v>6</v>
      </c>
      <c r="G10" s="22">
        <f t="shared" si="0"/>
        <v>0.17647058823529413</v>
      </c>
    </row>
    <row r="11" spans="2:7" x14ac:dyDescent="0.3">
      <c r="B11" s="16" t="s">
        <v>325</v>
      </c>
      <c r="C11" s="17">
        <f ca="1">SUBTOTAL(109,ISO27001ApplicabilityTableResults[عدد الضوابط])</f>
        <v>93</v>
      </c>
      <c r="D11" s="19">
        <f ca="1">SUBTOTAL(109,ISO27001ApplicabilityTableResults[الضوابط القابلة للتطبيق])</f>
        <v>93</v>
      </c>
      <c r="E11" s="21">
        <f ca="1">SUBTOTAL(101,ISO27001ApplicabilityTableResults[نسبة الضوابط القابلة للتطبيق])</f>
        <v>1</v>
      </c>
      <c r="F11" s="19">
        <f ca="1">SUBTOTAL(109,ISO27001ApplicabilityTableResults[الضوابط المنفذة])</f>
        <v>93</v>
      </c>
      <c r="G11" s="23">
        <f ca="1">SUBTOTAL(101,ISO27001ApplicabilityTableResults[نسبة تنفيذ الضوابط القابلة للتطبيق])</f>
        <v>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1BD63-850E-4C47-828F-FCAF53979144}">
  <dimension ref="B4:AD20"/>
  <sheetViews>
    <sheetView showGridLines="0" workbookViewId="0"/>
  </sheetViews>
  <sheetFormatPr defaultColWidth="9.109375" defaultRowHeight="14.4" x14ac:dyDescent="0.3"/>
  <cols>
    <col min="1" max="1" width="2.88671875" style="13" customWidth="1"/>
    <col min="2" max="2" width="16.21875" style="13" bestFit="1" customWidth="1"/>
    <col min="3" max="3" width="17.6640625" style="34" bestFit="1" customWidth="1"/>
    <col min="4" max="4" width="12.109375" style="34" bestFit="1" customWidth="1"/>
    <col min="5" max="5" width="24.6640625" style="34" bestFit="1" customWidth="1"/>
    <col min="6" max="30" width="64.109375" style="13" bestFit="1" customWidth="1"/>
    <col min="31" max="16384" width="9.109375" style="13"/>
  </cols>
  <sheetData>
    <row r="4" spans="2:30" ht="18" x14ac:dyDescent="0.3">
      <c r="B4" s="15" t="s">
        <v>326</v>
      </c>
    </row>
    <row r="6" spans="2:30" x14ac:dyDescent="0.3">
      <c r="B6" s="33" t="s">
        <v>318</v>
      </c>
      <c r="C6" s="33" t="s">
        <v>320</v>
      </c>
      <c r="D6" s="33" t="s">
        <v>322</v>
      </c>
      <c r="E6"/>
      <c r="F6"/>
      <c r="G6"/>
      <c r="H6"/>
      <c r="I6"/>
      <c r="J6"/>
      <c r="K6"/>
      <c r="L6"/>
      <c r="M6"/>
      <c r="N6"/>
      <c r="O6"/>
      <c r="P6"/>
      <c r="Q6"/>
      <c r="R6"/>
      <c r="S6"/>
      <c r="T6"/>
      <c r="U6"/>
      <c r="V6"/>
      <c r="W6"/>
      <c r="X6"/>
      <c r="Y6"/>
      <c r="Z6"/>
      <c r="AA6"/>
      <c r="AB6"/>
      <c r="AC6"/>
      <c r="AD6"/>
    </row>
    <row r="7" spans="2:30" x14ac:dyDescent="0.3">
      <c r="B7" s="13" t="s">
        <v>29</v>
      </c>
      <c r="C7" s="71">
        <v>37</v>
      </c>
      <c r="D7" s="71">
        <v>16</v>
      </c>
      <c r="E7"/>
      <c r="F7"/>
      <c r="G7"/>
      <c r="H7"/>
      <c r="I7"/>
      <c r="J7"/>
      <c r="K7"/>
      <c r="L7"/>
      <c r="M7"/>
      <c r="N7"/>
      <c r="O7"/>
      <c r="P7"/>
      <c r="Q7"/>
      <c r="R7"/>
      <c r="S7"/>
      <c r="T7"/>
      <c r="U7"/>
      <c r="V7"/>
      <c r="W7"/>
      <c r="X7"/>
      <c r="Y7"/>
      <c r="Z7"/>
      <c r="AA7"/>
      <c r="AB7"/>
      <c r="AC7"/>
      <c r="AD7"/>
    </row>
    <row r="8" spans="2:30" x14ac:dyDescent="0.3">
      <c r="B8" s="13" t="s">
        <v>144</v>
      </c>
      <c r="C8" s="71">
        <v>8</v>
      </c>
      <c r="D8" s="71">
        <v>3</v>
      </c>
      <c r="E8"/>
      <c r="F8"/>
      <c r="G8"/>
      <c r="H8"/>
      <c r="I8"/>
      <c r="J8"/>
      <c r="K8"/>
      <c r="L8"/>
      <c r="M8"/>
      <c r="N8"/>
      <c r="O8"/>
      <c r="P8"/>
      <c r="Q8"/>
      <c r="R8"/>
      <c r="S8"/>
      <c r="T8"/>
      <c r="U8"/>
      <c r="V8"/>
      <c r="W8"/>
      <c r="X8"/>
      <c r="Y8"/>
      <c r="Z8"/>
      <c r="AA8"/>
      <c r="AB8"/>
      <c r="AC8"/>
      <c r="AD8"/>
    </row>
    <row r="9" spans="2:30" x14ac:dyDescent="0.3">
      <c r="B9" s="13" t="s">
        <v>169</v>
      </c>
      <c r="C9" s="71">
        <v>14</v>
      </c>
      <c r="D9" s="71">
        <v>8</v>
      </c>
      <c r="E9"/>
      <c r="F9"/>
      <c r="G9"/>
      <c r="H9"/>
      <c r="I9"/>
      <c r="J9"/>
      <c r="K9"/>
      <c r="L9"/>
      <c r="M9"/>
      <c r="N9"/>
      <c r="O9"/>
      <c r="P9"/>
      <c r="Q9"/>
      <c r="R9"/>
      <c r="S9"/>
      <c r="T9"/>
      <c r="U9"/>
      <c r="V9"/>
      <c r="W9"/>
      <c r="X9"/>
      <c r="Y9"/>
      <c r="Z9"/>
      <c r="AA9"/>
      <c r="AB9"/>
      <c r="AC9"/>
      <c r="AD9"/>
    </row>
    <row r="10" spans="2:30" x14ac:dyDescent="0.3">
      <c r="B10" s="13" t="s">
        <v>212</v>
      </c>
      <c r="C10" s="71">
        <v>34</v>
      </c>
      <c r="D10" s="71">
        <v>6</v>
      </c>
      <c r="E10"/>
      <c r="F10"/>
      <c r="G10"/>
      <c r="H10"/>
      <c r="I10"/>
      <c r="J10"/>
      <c r="K10"/>
      <c r="L10"/>
      <c r="M10"/>
      <c r="N10"/>
      <c r="O10"/>
      <c r="P10"/>
      <c r="Q10"/>
      <c r="R10"/>
      <c r="S10"/>
      <c r="T10"/>
      <c r="U10"/>
      <c r="V10"/>
      <c r="W10"/>
      <c r="X10"/>
      <c r="Y10"/>
      <c r="Z10"/>
      <c r="AA10"/>
      <c r="AB10"/>
      <c r="AC10"/>
      <c r="AD10"/>
    </row>
    <row r="11" spans="2:30" x14ac:dyDescent="0.3">
      <c r="B11" s="13" t="s">
        <v>325</v>
      </c>
      <c r="C11" s="71">
        <v>93</v>
      </c>
      <c r="D11" s="71">
        <v>93</v>
      </c>
      <c r="E11"/>
      <c r="F11"/>
      <c r="G11"/>
      <c r="H11"/>
      <c r="I11"/>
      <c r="J11"/>
      <c r="K11"/>
      <c r="L11"/>
      <c r="M11"/>
      <c r="N11"/>
      <c r="O11"/>
      <c r="P11"/>
      <c r="Q11"/>
      <c r="R11"/>
      <c r="S11"/>
      <c r="T11"/>
      <c r="U11"/>
      <c r="V11"/>
      <c r="W11"/>
      <c r="X11"/>
      <c r="Y11"/>
      <c r="Z11"/>
      <c r="AA11"/>
      <c r="AB11"/>
      <c r="AC11"/>
      <c r="AD11"/>
    </row>
    <row r="12" spans="2:30" x14ac:dyDescent="0.3">
      <c r="B12"/>
      <c r="C12"/>
      <c r="D12"/>
      <c r="E12"/>
      <c r="F12"/>
      <c r="G12"/>
      <c r="H12"/>
      <c r="I12"/>
      <c r="J12"/>
      <c r="K12"/>
      <c r="L12"/>
      <c r="M12"/>
      <c r="N12"/>
      <c r="O12"/>
      <c r="P12"/>
      <c r="Q12"/>
      <c r="R12"/>
      <c r="S12"/>
      <c r="T12"/>
      <c r="U12"/>
      <c r="V12"/>
      <c r="W12"/>
      <c r="X12"/>
      <c r="Y12"/>
      <c r="Z12"/>
      <c r="AA12"/>
      <c r="AB12"/>
      <c r="AC12"/>
      <c r="AD12"/>
    </row>
    <row r="13" spans="2:30" x14ac:dyDescent="0.3">
      <c r="B13"/>
      <c r="C13"/>
      <c r="D13"/>
      <c r="E13"/>
      <c r="F13"/>
      <c r="G13"/>
      <c r="H13"/>
      <c r="I13"/>
      <c r="J13"/>
      <c r="K13"/>
      <c r="L13"/>
      <c r="M13"/>
      <c r="N13"/>
      <c r="O13"/>
      <c r="P13"/>
      <c r="Q13"/>
      <c r="R13"/>
      <c r="S13"/>
      <c r="T13"/>
      <c r="U13"/>
      <c r="V13"/>
      <c r="W13"/>
      <c r="X13"/>
      <c r="Y13"/>
      <c r="Z13"/>
      <c r="AA13"/>
      <c r="AB13"/>
      <c r="AC13"/>
      <c r="AD13"/>
    </row>
    <row r="14" spans="2:30" x14ac:dyDescent="0.3">
      <c r="B14"/>
      <c r="C14"/>
      <c r="D14"/>
      <c r="E14"/>
      <c r="F14"/>
      <c r="G14"/>
      <c r="H14"/>
      <c r="I14"/>
      <c r="J14"/>
      <c r="K14"/>
      <c r="L14"/>
      <c r="M14"/>
      <c r="N14"/>
      <c r="O14"/>
      <c r="P14"/>
      <c r="Q14"/>
      <c r="R14"/>
      <c r="S14"/>
      <c r="T14"/>
      <c r="U14"/>
      <c r="V14"/>
      <c r="W14"/>
      <c r="X14"/>
      <c r="Y14"/>
      <c r="Z14"/>
      <c r="AA14"/>
      <c r="AB14"/>
      <c r="AC14"/>
      <c r="AD14"/>
    </row>
    <row r="15" spans="2:30" x14ac:dyDescent="0.3">
      <c r="B15"/>
      <c r="C15"/>
      <c r="D15"/>
      <c r="E15"/>
      <c r="F15"/>
      <c r="G15"/>
      <c r="H15"/>
      <c r="I15"/>
      <c r="J15"/>
      <c r="K15"/>
      <c r="L15"/>
      <c r="M15"/>
      <c r="N15"/>
      <c r="O15"/>
      <c r="P15"/>
      <c r="Q15"/>
      <c r="R15"/>
      <c r="S15"/>
      <c r="T15"/>
      <c r="U15"/>
      <c r="V15"/>
      <c r="W15"/>
      <c r="X15"/>
      <c r="Y15"/>
      <c r="Z15"/>
      <c r="AA15"/>
      <c r="AB15"/>
      <c r="AC15"/>
      <c r="AD15"/>
    </row>
    <row r="16" spans="2:30" x14ac:dyDescent="0.3">
      <c r="B16"/>
      <c r="C16"/>
      <c r="D16"/>
      <c r="E16"/>
      <c r="F16"/>
      <c r="G16"/>
      <c r="H16"/>
      <c r="I16"/>
      <c r="J16"/>
      <c r="K16"/>
      <c r="L16"/>
      <c r="M16"/>
      <c r="N16"/>
      <c r="O16"/>
      <c r="P16"/>
      <c r="Q16"/>
      <c r="R16"/>
      <c r="S16"/>
      <c r="T16"/>
      <c r="U16"/>
      <c r="V16"/>
      <c r="W16"/>
      <c r="X16"/>
      <c r="Y16"/>
      <c r="Z16"/>
      <c r="AA16"/>
      <c r="AB16"/>
      <c r="AC16"/>
      <c r="AD16"/>
    </row>
    <row r="17" spans="2:30" x14ac:dyDescent="0.3">
      <c r="B17"/>
      <c r="C17"/>
      <c r="D17"/>
      <c r="E17"/>
      <c r="F17"/>
      <c r="G17"/>
      <c r="H17"/>
      <c r="I17"/>
      <c r="J17"/>
      <c r="K17"/>
      <c r="L17"/>
      <c r="M17"/>
      <c r="N17"/>
      <c r="O17"/>
      <c r="P17"/>
      <c r="Q17"/>
      <c r="R17"/>
      <c r="S17"/>
      <c r="T17"/>
      <c r="U17"/>
      <c r="V17"/>
      <c r="W17"/>
      <c r="X17"/>
      <c r="Y17"/>
      <c r="Z17"/>
      <c r="AA17"/>
      <c r="AB17"/>
      <c r="AC17"/>
      <c r="AD17"/>
    </row>
    <row r="18" spans="2:30" x14ac:dyDescent="0.3">
      <c r="B18"/>
      <c r="C18"/>
      <c r="D18"/>
      <c r="E18"/>
      <c r="F18"/>
      <c r="G18"/>
      <c r="H18"/>
      <c r="I18"/>
      <c r="J18"/>
      <c r="K18"/>
      <c r="L18"/>
      <c r="M18"/>
      <c r="N18"/>
      <c r="O18"/>
      <c r="P18"/>
      <c r="Q18"/>
      <c r="R18"/>
      <c r="S18"/>
      <c r="T18"/>
      <c r="U18"/>
      <c r="V18"/>
      <c r="W18"/>
      <c r="X18"/>
      <c r="Y18"/>
      <c r="Z18"/>
      <c r="AA18"/>
      <c r="AB18"/>
      <c r="AC18"/>
      <c r="AD18"/>
    </row>
    <row r="19" spans="2:30" x14ac:dyDescent="0.3">
      <c r="B19"/>
      <c r="C19"/>
      <c r="D19"/>
      <c r="E19"/>
    </row>
    <row r="20" spans="2:30" x14ac:dyDescent="0.3">
      <c r="B20"/>
      <c r="C20"/>
      <c r="D20"/>
      <c r="E2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6D26C-CEAA-42DE-8F9A-7F34B91C4873}">
  <dimension ref="B1:D20"/>
  <sheetViews>
    <sheetView showGridLines="0" workbookViewId="0"/>
  </sheetViews>
  <sheetFormatPr defaultRowHeight="14.25" customHeight="1" x14ac:dyDescent="0.3"/>
  <cols>
    <col min="1" max="1" width="2.88671875" customWidth="1"/>
    <col min="2" max="2" width="16.21875" bestFit="1" customWidth="1"/>
    <col min="3" max="3" width="11.77734375" style="36" bestFit="1" customWidth="1"/>
    <col min="4" max="4" width="7.21875" style="36" bestFit="1" customWidth="1"/>
  </cols>
  <sheetData>
    <row r="1" spans="2:4" s="38" customFormat="1" ht="14.25" customHeight="1" x14ac:dyDescent="0.3">
      <c r="C1" s="39"/>
      <c r="D1" s="39"/>
    </row>
    <row r="2" spans="2:4" s="38" customFormat="1" ht="14.25" customHeight="1" x14ac:dyDescent="0.3">
      <c r="C2" s="39"/>
      <c r="D2" s="39"/>
    </row>
    <row r="3" spans="2:4" s="38" customFormat="1" ht="14.25" customHeight="1" x14ac:dyDescent="0.3">
      <c r="C3" s="39"/>
      <c r="D3" s="39"/>
    </row>
    <row r="4" spans="2:4" s="38" customFormat="1" ht="14.25" customHeight="1" x14ac:dyDescent="0.3">
      <c r="B4" s="40" t="s">
        <v>327</v>
      </c>
      <c r="C4" s="39"/>
      <c r="D4" s="39"/>
    </row>
    <row r="5" spans="2:4" s="38" customFormat="1" ht="14.25" customHeight="1" x14ac:dyDescent="0.3">
      <c r="C5" s="39"/>
      <c r="D5" s="39"/>
    </row>
    <row r="6" spans="2:4" s="38" customFormat="1" ht="57.6" x14ac:dyDescent="0.3">
      <c r="B6" s="41" t="s">
        <v>318</v>
      </c>
      <c r="C6" s="42" t="s">
        <v>323</v>
      </c>
      <c r="D6" s="42" t="s">
        <v>321</v>
      </c>
    </row>
    <row r="7" spans="2:4" s="38" customFormat="1" ht="14.4" x14ac:dyDescent="0.3">
      <c r="B7" s="38" t="s">
        <v>29</v>
      </c>
      <c r="C7" s="43">
        <v>0.43243243243243246</v>
      </c>
      <c r="D7" s="43">
        <v>1</v>
      </c>
    </row>
    <row r="8" spans="2:4" s="38" customFormat="1" ht="14.4" x14ac:dyDescent="0.3">
      <c r="B8" s="38" t="s">
        <v>144</v>
      </c>
      <c r="C8" s="43">
        <v>0.375</v>
      </c>
      <c r="D8" s="43">
        <v>1</v>
      </c>
    </row>
    <row r="9" spans="2:4" s="38" customFormat="1" ht="14.4" x14ac:dyDescent="0.3">
      <c r="B9" s="38" t="s">
        <v>169</v>
      </c>
      <c r="C9" s="43">
        <v>0.5714285714285714</v>
      </c>
      <c r="D9" s="43">
        <v>1</v>
      </c>
    </row>
    <row r="10" spans="2:4" s="38" customFormat="1" ht="14.4" x14ac:dyDescent="0.3">
      <c r="B10" s="38" t="s">
        <v>212</v>
      </c>
      <c r="C10" s="43">
        <v>0.17647058823529413</v>
      </c>
      <c r="D10" s="43">
        <v>1</v>
      </c>
    </row>
    <row r="11" spans="2:4" s="38" customFormat="1" ht="14.4" x14ac:dyDescent="0.3">
      <c r="B11" s="38" t="s">
        <v>325</v>
      </c>
      <c r="C11" s="43">
        <v>1</v>
      </c>
      <c r="D11" s="43">
        <v>1</v>
      </c>
    </row>
    <row r="12" spans="2:4" s="38" customFormat="1" ht="14.4" x14ac:dyDescent="0.3">
      <c r="B12"/>
      <c r="C12"/>
      <c r="D12"/>
    </row>
    <row r="13" spans="2:4" s="38" customFormat="1" ht="14.4" x14ac:dyDescent="0.3">
      <c r="B13"/>
      <c r="C13"/>
      <c r="D13"/>
    </row>
    <row r="14" spans="2:4" s="38" customFormat="1" ht="14.4" x14ac:dyDescent="0.3">
      <c r="B14"/>
      <c r="C14"/>
      <c r="D14"/>
    </row>
    <row r="15" spans="2:4" s="38" customFormat="1" ht="14.4" x14ac:dyDescent="0.3">
      <c r="B15"/>
      <c r="C15"/>
      <c r="D15"/>
    </row>
    <row r="16" spans="2:4" s="38" customFormat="1" ht="14.4" x14ac:dyDescent="0.3">
      <c r="B16"/>
      <c r="C16"/>
      <c r="D16"/>
    </row>
    <row r="17" spans="2:4" s="38" customFormat="1" ht="14.4" x14ac:dyDescent="0.3">
      <c r="B17"/>
      <c r="C17"/>
      <c r="D17"/>
    </row>
    <row r="18" spans="2:4" s="38" customFormat="1" ht="14.4" x14ac:dyDescent="0.3">
      <c r="B18"/>
      <c r="C18"/>
      <c r="D18"/>
    </row>
    <row r="19" spans="2:4" s="38" customFormat="1" ht="14.4" x14ac:dyDescent="0.3">
      <c r="B19"/>
      <c r="C19"/>
      <c r="D19"/>
    </row>
    <row r="20" spans="2:4" s="38" customFormat="1" ht="14.4" x14ac:dyDescent="0.3">
      <c r="B20"/>
      <c r="C20"/>
      <c r="D2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691E0-FAEA-40EC-A67B-6873A241379E}">
  <dimension ref="B4:D21"/>
  <sheetViews>
    <sheetView showGridLines="0" workbookViewId="0"/>
  </sheetViews>
  <sheetFormatPr defaultColWidth="9.109375" defaultRowHeight="14.4" x14ac:dyDescent="0.3"/>
  <cols>
    <col min="1" max="1" width="2.88671875" style="38" customWidth="1"/>
    <col min="2" max="2" width="16.21875" style="38" bestFit="1" customWidth="1"/>
    <col min="3" max="3" width="11.77734375" style="38" bestFit="1" customWidth="1"/>
    <col min="4" max="4" width="7.21875" style="38" bestFit="1" customWidth="1"/>
    <col min="5" max="16384" width="9.109375" style="38"/>
  </cols>
  <sheetData>
    <row r="4" spans="2:4" ht="18" x14ac:dyDescent="0.3">
      <c r="B4" s="40" t="s">
        <v>324</v>
      </c>
    </row>
    <row r="6" spans="2:4" ht="57.6" x14ac:dyDescent="0.3">
      <c r="B6" s="33" t="s">
        <v>318</v>
      </c>
      <c r="C6" s="37" t="s">
        <v>323</v>
      </c>
      <c r="D6" s="37" t="s">
        <v>321</v>
      </c>
    </row>
    <row r="7" spans="2:4" x14ac:dyDescent="0.3">
      <c r="B7" s="38" t="s">
        <v>29</v>
      </c>
      <c r="C7" s="44">
        <v>0.43243243243243246</v>
      </c>
      <c r="D7" s="44">
        <v>1</v>
      </c>
    </row>
    <row r="8" spans="2:4" x14ac:dyDescent="0.3">
      <c r="B8" s="38" t="s">
        <v>144</v>
      </c>
      <c r="C8" s="44">
        <v>0.375</v>
      </c>
      <c r="D8" s="44">
        <v>1</v>
      </c>
    </row>
    <row r="9" spans="2:4" x14ac:dyDescent="0.3">
      <c r="B9" s="38" t="s">
        <v>169</v>
      </c>
      <c r="C9" s="44">
        <v>0.5714285714285714</v>
      </c>
      <c r="D9" s="44">
        <v>1</v>
      </c>
    </row>
    <row r="10" spans="2:4" x14ac:dyDescent="0.3">
      <c r="B10" s="38" t="s">
        <v>212</v>
      </c>
      <c r="C10" s="44">
        <v>0.17647058823529413</v>
      </c>
      <c r="D10" s="44">
        <v>1</v>
      </c>
    </row>
    <row r="11" spans="2:4" x14ac:dyDescent="0.3">
      <c r="B11" s="38" t="s">
        <v>325</v>
      </c>
      <c r="C11" s="44">
        <v>1</v>
      </c>
      <c r="D11" s="44">
        <v>1</v>
      </c>
    </row>
    <row r="12" spans="2:4" x14ac:dyDescent="0.3">
      <c r="B12"/>
      <c r="C12"/>
      <c r="D12"/>
    </row>
    <row r="13" spans="2:4" x14ac:dyDescent="0.3">
      <c r="B13"/>
      <c r="C13"/>
      <c r="D13"/>
    </row>
    <row r="14" spans="2:4" x14ac:dyDescent="0.3">
      <c r="B14"/>
      <c r="C14"/>
      <c r="D14"/>
    </row>
    <row r="15" spans="2:4" x14ac:dyDescent="0.3">
      <c r="B15"/>
      <c r="C15"/>
      <c r="D15"/>
    </row>
    <row r="16" spans="2:4" x14ac:dyDescent="0.3">
      <c r="B16"/>
      <c r="C16"/>
      <c r="D16"/>
    </row>
    <row r="17" spans="2:4" x14ac:dyDescent="0.3">
      <c r="B17"/>
      <c r="C17"/>
      <c r="D17"/>
    </row>
    <row r="18" spans="2:4" x14ac:dyDescent="0.3">
      <c r="B18"/>
      <c r="C18"/>
      <c r="D18"/>
    </row>
    <row r="19" spans="2:4" x14ac:dyDescent="0.3">
      <c r="B19"/>
      <c r="C19"/>
      <c r="D19"/>
    </row>
    <row r="20" spans="2:4" x14ac:dyDescent="0.3">
      <c r="B20"/>
      <c r="C20"/>
      <c r="D20"/>
    </row>
    <row r="21" spans="2:4" x14ac:dyDescent="0.3">
      <c r="B21"/>
      <c r="C2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89244998-67c5-4bad-a13d-4acc63ad7b2f">
      <UserInfo>
        <DisplayName/>
        <AccountId xsi:nil="true"/>
        <AccountType/>
      </UserInfo>
    </SharedWithUsers>
    <lcf76f155ced4ddcb4097134ff3c332f xmlns="f1cf04bc-9f60-4a9d-874f-9541ee77ebfe">
      <Terms xmlns="http://schemas.microsoft.com/office/infopath/2007/PartnerControls"/>
    </lcf76f155ced4ddcb4097134ff3c332f>
    <TaxCatchAll xmlns="89244998-67c5-4bad-a13d-4acc63ad7b2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A843292D49187418BD21D9C97EA6F65" ma:contentTypeVersion="14" ma:contentTypeDescription="Create a new document." ma:contentTypeScope="" ma:versionID="d3977c999a0d19f80435e8a37523a1f4">
  <xsd:schema xmlns:xsd="http://www.w3.org/2001/XMLSchema" xmlns:xs="http://www.w3.org/2001/XMLSchema" xmlns:p="http://schemas.microsoft.com/office/2006/metadata/properties" xmlns:ns2="f1cf04bc-9f60-4a9d-874f-9541ee77ebfe" xmlns:ns3="89244998-67c5-4bad-a13d-4acc63ad7b2f" targetNamespace="http://schemas.microsoft.com/office/2006/metadata/properties" ma:root="true" ma:fieldsID="00153632ccd8eb7e3a00edf932385a7e" ns2:_="" ns3:_="">
    <xsd:import namespace="f1cf04bc-9f60-4a9d-874f-9541ee77ebfe"/>
    <xsd:import namespace="89244998-67c5-4bad-a13d-4acc63ad7b2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cf04bc-9f60-4a9d-874f-9541ee77eb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79a0526b-d517-4052-b134-bebbd45ec951"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89244998-67c5-4bad-a13d-4acc63ad7b2f"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10bf2327-b9ba-4b5a-96ef-6cc459911f2d}" ma:internalName="TaxCatchAll" ma:showField="CatchAllData" ma:web="89244998-67c5-4bad-a13d-4acc63ad7b2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8B4250-B95D-49BB-B3C5-3FC868E45619}">
  <ds:schemaRefs>
    <ds:schemaRef ds:uri="http://schemas.microsoft.com/office/2006/documentManagement/types"/>
    <ds:schemaRef ds:uri="f1cf04bc-9f60-4a9d-874f-9541ee77ebfe"/>
    <ds:schemaRef ds:uri="http://purl.org/dc/elements/1.1/"/>
    <ds:schemaRef ds:uri="http://schemas.microsoft.com/office/2006/metadata/properties"/>
    <ds:schemaRef ds:uri="http://schemas.microsoft.com/office/infopath/2007/PartnerControls"/>
    <ds:schemaRef ds:uri="http://purl.org/dc/terms/"/>
    <ds:schemaRef ds:uri="http://schemas.openxmlformats.org/package/2006/metadata/core-properties"/>
    <ds:schemaRef ds:uri="http://www.w3.org/XML/1998/namespace"/>
    <ds:schemaRef ds:uri="http://purl.org/dc/dcmitype/"/>
    <ds:schemaRef ds:uri="89244998-67c5-4bad-a13d-4acc63ad7b2f"/>
  </ds:schemaRefs>
</ds:datastoreItem>
</file>

<file path=customXml/itemProps2.xml><?xml version="1.0" encoding="utf-8"?>
<ds:datastoreItem xmlns:ds="http://schemas.openxmlformats.org/officeDocument/2006/customXml" ds:itemID="{0341E8C8-6E66-45D1-82E4-62522DC31A8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cf04bc-9f60-4a9d-874f-9541ee77ebfe"/>
    <ds:schemaRef ds:uri="89244998-67c5-4bad-a13d-4acc63ad7b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578CA14-430D-4A5A-9C0A-B9DD4DB29663}">
  <ds:schemaRefs>
    <ds:schemaRef ds:uri="http://schemas.microsoft.com/DataMashup"/>
  </ds:schemaRefs>
</ds:datastoreItem>
</file>

<file path=customXml/itemProps4.xml><?xml version="1.0" encoding="utf-8"?>
<ds:datastoreItem xmlns:ds="http://schemas.openxmlformats.org/officeDocument/2006/customXml" ds:itemID="{BE29E310-ECC5-4B3B-9676-09C492D3B98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Guidance</vt:lpstr>
      <vt:lpstr>Version</vt:lpstr>
      <vt:lpstr>ISO27001 Annex A Applicability</vt:lpstr>
      <vt:lpstr>ISO27001 Annex A Dashboard</vt:lpstr>
      <vt:lpstr>ISO27001 Applicability Table</vt:lpstr>
      <vt:lpstr>ISO27001 Results Chart</vt:lpstr>
      <vt:lpstr>ISO27001 % Results Chart</vt:lpstr>
      <vt:lpstr>ISO27001 % Radar Chart</vt:lpstr>
      <vt:lpstr>Guidance!Print_Area</vt:lpstr>
      <vt:lpstr>'ISO27001 Annex A Applicability'!Print_Titles</vt:lpstr>
    </vt:vector>
  </TitlesOfParts>
  <Company>بنك الآفاق الرقمية</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بيان قابلية التطبيق (SoA) - بنك الآفاق الرقمية</dc:title>
  <dc:subject>ISMS-FORM-06-2 - ISO/IEC 27001:2022 الملحق A (93 ضابطاً)</dc:subject>
  <dc:creator>بنك الآفاق الرقمية - إدارة أمن المعلومات</dc:creator>
  <cp:keywords>ISMS, SoA, ISO 27001 Annex A, بنك الآفاق الرقمية</cp:keywords>
  <cp:lastModifiedBy>AMR KHALID AL-MOSABI</cp:lastModifiedBy>
  <cp:revision>1</cp:revision>
  <dcterms:created xsi:type="dcterms:W3CDTF">2026-04-06T08:00:00Z</dcterms:created>
  <dcterms:modified xsi:type="dcterms:W3CDTF">2026-09-13T08:03:28Z</dcterms:modified>
  <cp:category>سري - استخدام داخلي</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0x010100DA843292D49187418BD21D9C97EA6F65</vt:lpwstr>
  </property>
  <property fmtid="{D5CDD505-2E9C-101B-9397-08002B2CF9AE}" pid="3" name="Order">
    <vt:r8>1359100</vt:r8>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