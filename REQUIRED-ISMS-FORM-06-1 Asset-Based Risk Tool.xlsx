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kamra\Downloads\ISMS_بنك_الآفاق_الرقمية\"/>
    </mc:Choice>
  </mc:AlternateContent>
  <xr:revisionPtr revIDLastSave="0" documentId="13_ncr:1_{C0626E96-7E12-443B-910D-1C5D797ED657}" xr6:coauthVersionLast="47" xr6:coauthVersionMax="47" xr10:uidLastSave="{00000000-0000-0000-0000-000000000000}"/>
  <bookViews>
    <workbookView xWindow="-108" yWindow="-108" windowWidth="23256" windowHeight="13176" tabRatio="845" firstSheet="1" activeTab="3" xr2:uid="{00000000-000D-0000-FFFF-FFFF00000000}"/>
  </bookViews>
  <sheets>
    <sheet name="Guidance" sheetId="46" r:id="rId1"/>
    <sheet name="Assessment Details" sheetId="47"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ATV Risks" sheetId="43" r:id="rId13"/>
    <sheet name="Example Assets" sheetId="44" r:id="rId14"/>
    <sheet name="Example Threats" sheetId="45" r:id="rId15"/>
    <sheet name="Likelihood" sheetId="13" r:id="rId16"/>
    <sheet name="Impact" sheetId="14" r:id="rId17"/>
    <sheet name="Selection Tables" sheetId="4" state="hidden" r:id="rId18"/>
    <sheet name="Pivot tables" sheetId="27" state="hidden" r:id="rId19"/>
  </sheets>
  <definedNames>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Assessment'!$B:$H,'Risk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pivotCaches>
    <pivotCache cacheId="6" r:id="rId20"/>
    <pivotCache cacheId="9" r:id="rId21"/>
    <pivotCache cacheId="12" r:id="rId22"/>
    <pivotCache cacheId="15" r:id="rId2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35" l="1"/>
  <c r="G16" i="35"/>
  <c r="G15" i="35"/>
  <c r="G14" i="35"/>
  <c r="G13" i="35"/>
  <c r="G12" i="35"/>
  <c r="G11" i="35"/>
  <c r="G10" i="35"/>
  <c r="G9" i="35"/>
  <c r="G8" i="35"/>
  <c r="G7" i="35"/>
  <c r="G6" i="35"/>
  <c r="Z66" i="33" a="1"/>
  <c r="Z66" i="33" s="1"/>
  <c r="Y66" i="33" a="1"/>
  <c r="Y66" i="33" s="1"/>
  <c r="X66" i="33" a="1"/>
  <c r="X66" i="33" s="1"/>
  <c r="W66" i="33" a="1"/>
  <c r="W66" i="33" s="1"/>
  <c r="V66" i="33" a="1"/>
  <c r="V66" i="33" s="1"/>
  <c r="R66" i="33" a="1"/>
  <c r="R66" i="33" s="1"/>
  <c r="Q66" i="33" a="1"/>
  <c r="Q66" i="33" s="1"/>
  <c r="P66" i="33" a="1"/>
  <c r="P66" i="33" s="1"/>
  <c r="O66" i="33" a="1"/>
  <c r="O66" i="33" s="1"/>
  <c r="N66" i="33" a="1"/>
  <c r="N66" i="33" s="1"/>
  <c r="Z65" i="33" a="1"/>
  <c r="Z65" i="33" s="1"/>
  <c r="Y65" i="33" a="1"/>
  <c r="Y65" i="33" s="1"/>
  <c r="X65" i="33" a="1"/>
  <c r="X65" i="33" s="1"/>
  <c r="W65" i="33" a="1"/>
  <c r="W65" i="33" s="1"/>
  <c r="V65" i="33" a="1"/>
  <c r="V65" i="33" s="1"/>
  <c r="R65" i="33" a="1"/>
  <c r="R65" i="33" s="1"/>
  <c r="Q65" i="33" a="1"/>
  <c r="Q65" i="33" s="1"/>
  <c r="P65" i="33" a="1"/>
  <c r="P65" i="33" s="1"/>
  <c r="O65" i="33" a="1"/>
  <c r="O65" i="33" s="1"/>
  <c r="N65" i="33" a="1"/>
  <c r="N65" i="33" s="1"/>
  <c r="Z64" i="33" a="1"/>
  <c r="Z64" i="33" s="1"/>
  <c r="Y64" i="33" a="1"/>
  <c r="Y64" i="33" s="1"/>
  <c r="X64" i="33" a="1"/>
  <c r="X64" i="33" s="1"/>
  <c r="W64" i="33" a="1"/>
  <c r="W64" i="33" s="1"/>
  <c r="V64" i="33" a="1"/>
  <c r="V64" i="33" s="1"/>
  <c r="R64" i="33" a="1"/>
  <c r="R64" i="33" s="1"/>
  <c r="Q64" i="33" a="1"/>
  <c r="Q64" i="33" s="1"/>
  <c r="P64" i="33" a="1"/>
  <c r="P64" i="33" s="1"/>
  <c r="O64" i="33" a="1"/>
  <c r="O64" i="33" s="1"/>
  <c r="N64" i="33" a="1"/>
  <c r="N64" i="33" s="1"/>
  <c r="Z63" i="33" a="1"/>
  <c r="Z63" i="33" s="1"/>
  <c r="Y63" i="33" a="1"/>
  <c r="Y63" i="33" s="1"/>
  <c r="X63" i="33" a="1"/>
  <c r="X63" i="33" s="1"/>
  <c r="W63" i="33" a="1"/>
  <c r="W63" i="33" s="1"/>
  <c r="V63" i="33" a="1"/>
  <c r="V63" i="33" s="1"/>
  <c r="R63" i="33" a="1"/>
  <c r="R63" i="33" s="1"/>
  <c r="Q63" i="33" a="1"/>
  <c r="Q63" i="33" s="1"/>
  <c r="P63" i="33" a="1"/>
  <c r="P63" i="33" s="1"/>
  <c r="O63" i="33" a="1"/>
  <c r="O63" i="33" s="1"/>
  <c r="N63" i="33" a="1"/>
  <c r="N63" i="33" s="1"/>
  <c r="Z62" i="33" a="1"/>
  <c r="Z62" i="33" s="1"/>
  <c r="Y62" i="33" a="1"/>
  <c r="Y62" i="33" s="1"/>
  <c r="X62" i="33" a="1"/>
  <c r="X62" i="33" s="1"/>
  <c r="W62" i="33" a="1"/>
  <c r="W62" i="33" s="1"/>
  <c r="V62" i="33" a="1"/>
  <c r="V62" i="33" s="1"/>
  <c r="R62" i="33" a="1"/>
  <c r="R62" i="33" s="1"/>
  <c r="Q62" i="33" a="1"/>
  <c r="Q62" i="33" s="1"/>
  <c r="P62" i="33" a="1"/>
  <c r="P62" i="33" s="1"/>
  <c r="O62" i="33" a="1"/>
  <c r="O62" i="33" s="1"/>
  <c r="N62" i="33" a="1"/>
  <c r="N62" i="33" s="1"/>
  <c r="AB45" i="8"/>
  <c r="AC45" i="8" s="1"/>
  <c r="N45" i="8"/>
  <c r="O45" i="8" s="1"/>
  <c r="AB44" i="8"/>
  <c r="AC44" i="8" s="1"/>
  <c r="N44" i="8"/>
  <c r="O44" i="8" s="1"/>
  <c r="AB43" i="8"/>
  <c r="AC43" i="8" s="1"/>
  <c r="N43" i="8"/>
  <c r="O43" i="8" s="1"/>
  <c r="AB42" i="8"/>
  <c r="AC42" i="8" s="1"/>
  <c r="N42" i="8"/>
  <c r="O42" i="8" s="1"/>
  <c r="AB41" i="8"/>
  <c r="AC41" i="8" s="1"/>
  <c r="N41" i="8"/>
  <c r="O41" i="8" s="1"/>
  <c r="AB40" i="8"/>
  <c r="AC40" i="8" s="1"/>
  <c r="N40" i="8"/>
  <c r="O40" i="8" s="1"/>
  <c r="AB39" i="8"/>
  <c r="AC39" i="8" s="1"/>
  <c r="N39" i="8"/>
  <c r="O39" i="8" s="1"/>
  <c r="AB38" i="8"/>
  <c r="AC38" i="8" s="1"/>
  <c r="N38" i="8"/>
  <c r="O38" i="8" s="1"/>
  <c r="AB37" i="8"/>
  <c r="AC37" i="8" s="1"/>
  <c r="N37" i="8"/>
  <c r="O37" i="8" s="1"/>
  <c r="AB36" i="8"/>
  <c r="AC36" i="8" s="1"/>
  <c r="N36" i="8"/>
  <c r="O36" i="8" s="1"/>
  <c r="AB35" i="8"/>
  <c r="AC35" i="8" s="1"/>
  <c r="N35" i="8"/>
  <c r="O35" i="8" s="1"/>
  <c r="AB34" i="8"/>
  <c r="AC34" i="8" s="1"/>
  <c r="N34" i="8"/>
  <c r="O34" i="8" s="1"/>
  <c r="AB33" i="8"/>
  <c r="AC33" i="8" s="1"/>
  <c r="N33" i="8"/>
  <c r="O33" i="8" s="1"/>
  <c r="AB32" i="8"/>
  <c r="AC32" i="8" s="1"/>
  <c r="N32" i="8"/>
  <c r="O32" i="8" s="1"/>
  <c r="AB31" i="8"/>
  <c r="AC31" i="8" s="1"/>
  <c r="N31" i="8"/>
  <c r="O31" i="8" s="1"/>
  <c r="AB30" i="8"/>
  <c r="AC30" i="8" s="1"/>
  <c r="N30" i="8"/>
  <c r="O30" i="8" s="1"/>
  <c r="AC29" i="8"/>
  <c r="AB29" i="8"/>
  <c r="N29" i="8"/>
  <c r="O29" i="8" s="1"/>
  <c r="AB28" i="8"/>
  <c r="AC28" i="8" s="1"/>
  <c r="N28" i="8"/>
  <c r="O28" i="8" s="1"/>
  <c r="AB27" i="8"/>
  <c r="AC27" i="8" s="1"/>
  <c r="N27" i="8"/>
  <c r="O27" i="8" s="1"/>
  <c r="AB26" i="8"/>
  <c r="AC26" i="8" s="1"/>
  <c r="N26" i="8"/>
  <c r="O26" i="8" s="1"/>
  <c r="AB25" i="8"/>
  <c r="AC25" i="8" s="1"/>
  <c r="N25" i="8"/>
  <c r="O25" i="8" s="1"/>
  <c r="AB24" i="8"/>
  <c r="AC24" i="8" s="1"/>
  <c r="N24" i="8"/>
  <c r="O24" i="8" s="1"/>
  <c r="AB23" i="8"/>
  <c r="AC23" i="8" s="1"/>
  <c r="N23" i="8"/>
  <c r="O23" i="8" s="1"/>
  <c r="AB22" i="8"/>
  <c r="AC22" i="8" s="1"/>
  <c r="N22" i="8"/>
  <c r="O22" i="8" s="1"/>
  <c r="AB21" i="8"/>
  <c r="AC21" i="8" s="1"/>
  <c r="N21" i="8"/>
  <c r="O21" i="8" s="1"/>
  <c r="AB20" i="8"/>
  <c r="AC20" i="8" s="1"/>
  <c r="N20" i="8"/>
  <c r="O20" i="8" s="1"/>
  <c r="AB19" i="8"/>
  <c r="AC19" i="8" s="1"/>
  <c r="N19" i="8"/>
  <c r="O19" i="8" s="1"/>
  <c r="AB18" i="8"/>
  <c r="AC18" i="8" s="1"/>
  <c r="N18" i="8"/>
  <c r="O18" i="8" s="1"/>
  <c r="AB17" i="8"/>
  <c r="AC17" i="8" s="1"/>
  <c r="N17" i="8"/>
  <c r="O17" i="8" s="1"/>
  <c r="AB16" i="8"/>
  <c r="AC16" i="8" s="1"/>
  <c r="N16" i="8"/>
  <c r="O16" i="8" s="1"/>
  <c r="AB15" i="8"/>
  <c r="AC15" i="8" s="1"/>
  <c r="N15" i="8"/>
  <c r="O15" i="8" s="1"/>
  <c r="AB14" i="8"/>
  <c r="AC14" i="8" s="1"/>
  <c r="N14" i="8"/>
  <c r="O14" i="8" s="1"/>
  <c r="T12" i="27" l="1"/>
  <c r="C10" i="37"/>
  <c r="G18" i="35"/>
  <c r="C7" i="37"/>
  <c r="S9" i="27"/>
  <c r="D7" i="37"/>
  <c r="T9" i="27"/>
  <c r="S10" i="27"/>
  <c r="C8" i="37"/>
  <c r="C7" i="34"/>
  <c r="D8" i="37"/>
  <c r="T10" i="27"/>
  <c r="C7" i="36"/>
  <c r="C9" i="37"/>
  <c r="S11" i="27"/>
  <c r="C8" i="34"/>
  <c r="C9" i="34"/>
  <c r="C8" i="36"/>
  <c r="D9" i="37"/>
  <c r="T11" i="27"/>
  <c r="S12" i="27"/>
  <c r="C10" i="34"/>
  <c r="C9" i="36"/>
  <c r="C10" i="36"/>
  <c r="D10"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إدارة أمن المعلومات - بنك الآفاق الرقمية</author>
    <author>فريق حوكمة أمن المعلومات - بنك الآفاق الرقمية</author>
  </authors>
  <commentList>
    <comment ref="B12" authorId="0" shapeId="0" xr:uid="{38FA1EEA-3F67-40DE-B048-B27F26A95C96}">
      <text>
        <r>
          <rPr>
            <b/>
            <sz val="9"/>
            <color indexed="81"/>
            <rFont val="Tahoma"/>
            <family val="2"/>
          </rPr>
          <t>يصف هذا القسم طبيعة الخطر ومالك الخطر كما يتطلب معيار ISO/IEC 27001:2022 (البند 6.1.2).</t>
        </r>
      </text>
    </comment>
    <comment ref="I12" authorId="0" shapeId="0" xr:uid="{943B046B-31BE-4FF4-BCAA-EF33BDE1213A}">
      <text>
        <r>
          <rPr>
            <b/>
            <sz val="9"/>
            <color indexed="81"/>
            <rFont val="Tahoma"/>
            <family val="2"/>
          </rPr>
          <t>تقييم لمستوى الخطر الحالي مع مراعاة الضوابط المطبقة فعلاً لمعالجته (التقييم قبل المعالجة).</t>
        </r>
      </text>
    </comment>
    <comment ref="P12" authorId="0" shapeId="0" xr:uid="{3E5710F8-87FD-4D0D-99F9-8ED1224DEFFB}">
      <text>
        <r>
          <rPr>
            <b/>
            <sz val="9"/>
            <color indexed="81"/>
            <rFont val="Tahoma"/>
            <family val="2"/>
          </rPr>
          <t>بالنسبة للمخاطر غير المقبولة يجب وجود خطة معالجة تحدد الإجراء والتكلفة والمسؤول والموعد المستهدف وحالة الإنجاز.</t>
        </r>
      </text>
    </comment>
    <comment ref="X12" authorId="0" shapeId="0" xr:uid="{BA793072-F17E-4063-BE48-B22B5BD9B333}">
      <text>
        <r>
          <rPr>
            <b/>
            <sz val="9"/>
            <color indexed="81"/>
            <rFont val="Tahoma"/>
            <family val="2"/>
          </rPr>
          <t>يُستخدم هذا القسم لتقييم مستوى الخطر المتبقي بعد تنفيذ إجراءات المعالجة.</t>
        </r>
      </text>
    </comment>
    <comment ref="B13" authorId="0" shapeId="0" xr:uid="{9E369695-AD9B-46AF-A418-0ECCB87275DF}">
      <text>
        <r>
          <rPr>
            <b/>
            <sz val="9"/>
            <color indexed="81"/>
            <rFont val="Tahoma"/>
            <family val="2"/>
          </rPr>
          <t>أدخل رقماً مرجعياً فريداً للخطر بصيغة R-001 إلى R-032، ويُستخدم للربط بسجل الأصول وبيان قابلية التطبيق وتقارير الأداء.</t>
        </r>
      </text>
    </comment>
    <comment ref="C13" authorId="0" shapeId="0" xr:uid="{39F24915-85DE-4418-94CC-3E668FF31DDA}">
      <text>
        <r>
          <rPr>
            <b/>
            <sz val="9"/>
            <color indexed="81"/>
            <rFont val="Tahoma"/>
            <family val="2"/>
          </rPr>
          <t>المجموعة المنطقية للأصول محل التقييم (مثال: بيانات العملاء، الأنظمة المصرفية الأساسية، البنية التحتية والشبكات).</t>
        </r>
      </text>
    </comment>
    <comment ref="D13" authorId="0" shapeId="0" xr:uid="{A190CD4F-8CD1-479F-94B7-720951B05F5C}">
      <text>
        <r>
          <rPr>
            <b/>
            <sz val="9"/>
            <color indexed="81"/>
            <rFont val="Tahoma"/>
            <family val="2"/>
          </rPr>
          <t>الأصل المحدد (أو المجموعة الفرعية) الذي يُقيَّم الخطر عليه، ومرجعه في سجل الأصول (A-001 إلى A-048).</t>
        </r>
      </text>
    </comment>
    <comment ref="E13" authorId="1" shapeId="0" xr:uid="{C89AE5AA-5FC1-49D9-9243-D417C54600D9}">
      <text>
        <r>
          <rPr>
            <b/>
            <sz val="9"/>
            <color indexed="81"/>
            <rFont val="Tahoma"/>
            <family val="2"/>
          </rPr>
          <t>ما الذي قد يحدث إذا استُغلت نقاط ضعف الأصل من قِبل جهة محددة (هجوم فدية، تصيد احتيالي، خطأ بشري، فشل مورد).</t>
        </r>
      </text>
    </comment>
    <comment ref="F13" authorId="1" shapeId="0" xr:uid="{13530428-4506-4D5A-9A52-D582DE151050}">
      <text>
        <r>
          <rPr>
            <b/>
            <sz val="9"/>
            <color indexed="81"/>
            <rFont val="Tahoma"/>
            <family val="2"/>
          </rPr>
          <t>نقطة ضعف يمكن لتهديد استغلالها لتعريض الأصل للاختراق أو الفقد أو التعطيل.</t>
        </r>
      </text>
    </comment>
    <comment ref="G13" authorId="0" shapeId="0" xr:uid="{C73680CE-3FA5-4802-9004-E80587DA6FD8}">
      <text>
        <r>
          <rPr>
            <b/>
            <sz val="9"/>
            <color indexed="81"/>
            <rFont val="Tahoma"/>
            <family val="2"/>
          </rPr>
          <t>هل الخطر على: السرية (C) أم السلامة (I) أم التوافر (A) أم على مجموعة منها؟</t>
        </r>
      </text>
    </comment>
    <comment ref="H13" authorId="0" shapeId="0" xr:uid="{1FC8833C-8717-4BC7-ACE7-77D991266F9D}">
      <text>
        <r>
          <rPr>
            <b/>
            <sz val="9"/>
            <color indexed="81"/>
            <rFont val="Tahoma"/>
            <family val="2"/>
          </rPr>
          <t>اسم الدور المسؤول عن الخطر والمخوّل بقبوله أو رفعه إلى لجنة أمن المعلومات وفق مصفوفة RACI.</t>
        </r>
      </text>
    </comment>
    <comment ref="I13" authorId="0" shapeId="0" xr:uid="{DF1DAA71-BCDE-46D0-AB12-9F4D22407BA9}">
      <text>
        <r>
          <rPr>
            <b/>
            <sz val="9"/>
            <color indexed="81"/>
            <rFont val="Tahoma"/>
            <family val="2"/>
          </rPr>
          <t>الضوابط المطبقة حالياً التي قد تُقلل احتمالية الخطر أو أثره، مع بيان فعاليتها ونواقصها.</t>
        </r>
      </text>
    </comment>
    <comment ref="J13" authorId="0" shapeId="0" xr:uid="{9BEA2735-F655-460A-9033-2698E7DCF981}">
      <text>
        <r>
          <rPr>
            <b/>
            <sz val="9"/>
            <color indexed="81"/>
            <rFont val="Tahoma"/>
            <family val="2"/>
          </rPr>
          <t>اختر درجة من 1 إلى 5 حيث 1 = احتمال منخفض جداً و5 = احتمال مرتفع جداً، وفق منهجية تقييم المخاطر ومعالجتها (RT1) المعتمدة في 2026-02-01.</t>
        </r>
      </text>
    </comment>
    <comment ref="K13" authorId="0" shapeId="0" xr:uid="{0B93335F-4954-4831-B874-29834EA6E8FF}">
      <text>
        <r>
          <rPr>
            <b/>
            <sz val="9"/>
            <color indexed="81"/>
            <rFont val="Tahoma"/>
            <family val="2"/>
          </rPr>
          <t>مبرر درجة الاحتمالية المختارة مع الإشارة إلى الحوادث السابقة أو بيانات القطاع عند الإمكان.</t>
        </r>
      </text>
    </comment>
    <comment ref="L13" authorId="0" shapeId="0" xr:uid="{4E98DAA8-7283-4D3C-846C-4D6B5439C4E3}">
      <text>
        <r>
          <rPr>
            <b/>
            <sz val="9"/>
            <color indexed="81"/>
            <rFont val="Tahoma"/>
            <family val="2"/>
          </rPr>
          <t>اختر درجة من 1 إلى 5 حيث 1 = أثر منخفض و5 = أثر بالغ.</t>
        </r>
      </text>
    </comment>
    <comment ref="M13" authorId="0" shapeId="0" xr:uid="{4F2D345D-C781-4990-B129-D2E1F7CD2FC3}">
      <text>
        <r>
          <rPr>
            <b/>
            <sz val="9"/>
            <color indexed="81"/>
            <rFont val="Tahoma"/>
            <family val="2"/>
          </rPr>
          <t>شرح موجز لسبب منح درجة الأثر (الأثر المالي، التشغيلي، النظامي، وأثر السمعة).</t>
        </r>
      </text>
    </comment>
    <comment ref="N13" authorId="0" shapeId="0" xr:uid="{C05F6FB1-B76B-49B8-B880-E5863966EB18}">
      <text>
        <r>
          <rPr>
            <b/>
            <sz val="9"/>
            <color indexed="81"/>
            <rFont val="Tahoma"/>
            <family val="2"/>
          </rPr>
          <t>درجة الخطر من 1 إلى 25 وتُحسب تلقائياً = الاحتمالية × التأثير.</t>
        </r>
      </text>
    </comment>
    <comment ref="O13" authorId="0" shapeId="0" xr:uid="{10219E66-1FCB-47C0-A0A9-0D5060484272}">
      <text>
        <r>
          <rPr>
            <b/>
            <sz val="9"/>
            <color indexed="81"/>
            <rFont val="Tahoma"/>
            <family val="2"/>
          </rPr>
          <t>مستوى الخطر يُحسب تلقائياً وفق السلم المعتمد: 1-4 منخفض، 5-10 متوسط، 11-15 مرتفع، 16-25 حرج.</t>
        </r>
      </text>
    </comment>
    <comment ref="P13" authorId="0" shapeId="0" xr:uid="{D084F3CC-6F7C-42FB-A3D2-3702642D9C17}">
      <text>
        <r>
          <rPr>
            <b/>
            <sz val="9"/>
            <color indexed="81"/>
            <rFont val="Tahoma"/>
            <family val="2"/>
          </rPr>
          <t>اختر خيار معالجة الخطر من القائمة المنسدلة: التخفيف، التجنب، النقل، القبول.</t>
        </r>
      </text>
    </comment>
    <comment ref="Q13" authorId="0" shapeId="0" xr:uid="{5A88E6CE-921F-404E-96B5-4B7163DE9542}">
      <text>
        <r>
          <rPr>
            <b/>
            <sz val="9"/>
            <color indexed="81"/>
            <rFont val="Tahoma"/>
            <family val="2"/>
          </rPr>
          <t>سجّل الضوابط المقترحة لمعالجة الخطر؛ يمكن الاسترشاد بضوابط الملحق A المرجعية (ورقة Reference Controls) أو بمصادر أخرى معتمدة.</t>
        </r>
      </text>
    </comment>
    <comment ref="R13" authorId="0" shapeId="0" xr:uid="{6D56ED50-1899-4DD9-ABDE-0A574686B79A}">
      <text>
        <r>
          <rPr>
            <b/>
            <sz val="9"/>
            <color indexed="81"/>
            <rFont val="Tahoma"/>
            <family val="2"/>
          </rPr>
          <t>المرجع المحدد للضابط أو الضوابط المستخدمة في المعالجة (مثال: A.8.13، A.8.16) بما يضمن التتبع إلى بيان قابلية التطبيق.</t>
        </r>
      </text>
    </comment>
    <comment ref="S13" authorId="0" shapeId="0" xr:uid="{E724B07D-4C72-4664-92A6-ACD34EE63AF5}">
      <text>
        <r>
          <rPr>
            <b/>
            <sz val="9"/>
            <color indexed="81"/>
            <rFont val="Tahoma"/>
            <family val="2"/>
          </rPr>
          <t>كم ستكلف الضوابط المقترحة؟ تُسجَّل بالريال السعودي وتُجمع في لوحة المعلومات لمقارنتها بالميزانية المعتمدة (18 مليون ريال).</t>
        </r>
      </text>
    </comment>
    <comment ref="T13" authorId="0" shapeId="0" xr:uid="{773DF90E-52E9-4873-9C09-673F74B50E14}">
      <text>
        <r>
          <rPr>
            <b/>
            <sz val="9"/>
            <color indexed="81"/>
            <rFont val="Tahoma"/>
            <family val="2"/>
          </rPr>
          <t>الشخص أو الدور المكلف بتنفيذ إجراء المعالجة.</t>
        </r>
      </text>
    </comment>
    <comment ref="U13" authorId="0" shapeId="0" xr:uid="{0CEF16B6-0228-4DC0-88ED-B13C171B6965}">
      <text>
        <r>
          <rPr>
            <b/>
            <sz val="9"/>
            <color indexed="81"/>
            <rFont val="Tahoma"/>
            <family val="2"/>
          </rPr>
          <t>التاريخ أو المدة الزمنية التي يجب إنجاز إجراء المعالجة خلالها.</t>
        </r>
      </text>
    </comment>
    <comment ref="V13" authorId="0" shapeId="0" xr:uid="{816B701D-622A-4FD3-891A-C02716955D48}">
      <text>
        <r>
          <rPr>
            <b/>
            <sz val="9"/>
            <color indexed="81"/>
            <rFont val="Tahoma"/>
            <family val="2"/>
          </rPr>
          <t>نسبة إنجاز إجراء المعالجة (0% إلى 100%) مع سرد مؤرخ للتقدم والمعوقات إن وُجدت.</t>
        </r>
      </text>
    </comment>
    <comment ref="W13" authorId="0" shapeId="0" xr:uid="{7CFDF163-A4B2-4165-85A2-73514EF7106A}">
      <text>
        <r>
          <rPr>
            <b/>
            <sz val="9"/>
            <color indexed="81"/>
            <rFont val="Tahoma"/>
            <family val="2"/>
          </rPr>
          <t>حالة إجراء المعالجة: لم يبدأ / قيد التنفيذ / مكتمل / متأخر.</t>
        </r>
      </text>
    </comment>
    <comment ref="X13" authorId="0" shapeId="0" xr:uid="{D8633ADB-E07D-403D-8307-F908A9D8112F}">
      <text>
        <r>
          <rPr>
            <b/>
            <sz val="9"/>
            <color indexed="81"/>
            <rFont val="Tahoma"/>
            <family val="2"/>
          </rPr>
          <t>اختر درجة من 1 إلى 5 للاحتمالية المتبقية بعد تنفيذ المعالجة.</t>
        </r>
      </text>
    </comment>
    <comment ref="Y13" authorId="0" shapeId="0" xr:uid="{F9B3A9F9-48FF-414E-8D59-005FFF21C413}">
      <text>
        <r>
          <rPr>
            <b/>
            <sz val="9"/>
            <color indexed="81"/>
            <rFont val="Tahoma"/>
            <family val="2"/>
          </rPr>
          <t>مبرر درجة الاحتمالية المتبقية وبيان فعالية الضوابط الجديدة.</t>
        </r>
      </text>
    </comment>
    <comment ref="Z13" authorId="0" shapeId="0" xr:uid="{76B048B7-BCE9-4D6A-9BD3-273FCF368D64}">
      <text>
        <r>
          <rPr>
            <b/>
            <sz val="9"/>
            <color indexed="81"/>
            <rFont val="Tahoma"/>
            <family val="2"/>
          </rPr>
          <t>اختر درجة من 1 إلى 5 للأثر المتبقي بعد المعالجة.</t>
        </r>
      </text>
    </comment>
    <comment ref="AA13" authorId="0" shapeId="0" xr:uid="{100C04F8-2E28-4692-84E9-7253EF18BA84}">
      <text>
        <r>
          <rPr>
            <b/>
            <sz val="9"/>
            <color indexed="81"/>
            <rFont val="Tahoma"/>
            <family val="2"/>
          </rPr>
          <t>مبرر درجة الأثر المتبقي (ما الذي يبقى من الأثر رغم المعالجة).</t>
        </r>
      </text>
    </comment>
    <comment ref="AB13" authorId="0" shapeId="0" xr:uid="{BC085B28-33FC-47A3-9DBD-6BFAE46ACB63}">
      <text>
        <r>
          <rPr>
            <b/>
            <sz val="9"/>
            <color indexed="81"/>
            <rFont val="Tahoma"/>
            <family val="2"/>
          </rPr>
          <t>درجة الخطر المتبقي من 1 إلى 25 وتُحسب تلقائياً = الاحتمالية بعد المعالجة × التأثير بعد المعالجة.</t>
        </r>
      </text>
    </comment>
    <comment ref="AC13" authorId="0" shapeId="0" xr:uid="{84933151-F8BE-4D10-B7CD-910223C87AAA}">
      <text>
        <r>
          <rPr>
            <b/>
            <sz val="9"/>
            <color indexed="81"/>
            <rFont val="Tahoma"/>
            <family val="2"/>
          </rPr>
          <t>مستوى الخطر المتبقي يُحسب تلقائياً وفق السلم المعتمد: 1-4 منخفض، 5-10 متوسط، 11-15 مرتفع، 16-25 حرج.</t>
        </r>
      </text>
    </comment>
    <comment ref="AD13" authorId="0" shapeId="0" xr:uid="{2A6B4ACF-D29C-4FC7-82E6-2C5FBAAA3EA7}">
      <text>
        <r>
          <rPr>
            <b/>
            <sz val="9"/>
            <color indexed="81"/>
            <rFont val="Tahoma"/>
            <family val="2"/>
          </rPr>
          <t>أدخل أي ملاحظات أخرى: الارتباط بالحوادث (INC-xxxx) أو بحالات عدم المطابقة (NC-xx) أو بقرارات قبول الخطر المعتمدة من لجنة أمن المعلومات.</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<sst xmlns="http://schemas.openxmlformats.org/spreadsheetml/2006/main" count="1379" uniqueCount="850">
  <si>
    <t>إرشادات التطبيق
تُستخدم هذه الأداة لتنفيذ تقييم مخاطر قائم على الأصول وفق البند 6.1.2 من المواصفة ISO/IEC 27001:2022، وإعداد خطة معالجة المخاطر المطلوبة في البند 6.1.3.</t>
  </si>
  <si>
    <t>التصميم
حوفظ على تصميم النموذج الأصلي وألوانه وتنسيقاته دون تغيير، واقتصر العمل على ترجمة المحتوى وتعبئته وتخصيصه لبنك الآفاق الرقمية.</t>
  </si>
  <si>
    <t>الغرض من هذه الوثيقة
تُستخدم هذه الأداة لتقييم مخاطر أمن المعلومات في بنك الآفاق الرقمية على أساس الأصول، بتحديد التهديدات ونقاط الضعف لكل أصل، وتقدير الاحتمالية والتأثير، واحتساب درجة الخطر ومستواه، ثم اختيار خيار المعالجة وتحديد الإجراء والمسؤول والمدة والتكلفة، وأخيراً تقدير الخطر المتبقي بعد المعالجة. وتُغذّي نتائجها كلاً من تقرير تقييم ومعالجة المخاطر (ISMS-DOC-06-3) وبيان قابلية التطبيق (ISMS-FORM-06-2).</t>
  </si>
  <si>
    <t>الأجزاء المعالجة من المواصفة
البند 6.1.2 تقييم مخاطر أمن المعلومات
البند 6.1.3 معالجة مخاطر أمن المعلومات
البند 8.2 تقييم مخاطر أمن المعلومات (التنفيذ)
البند 8.3 معالجة مخاطر أمن المعلومات (التنفيذ)
الضابط A.5.9 جرد المعلومات والأصول المرتبطة بها
الضابط A.5.12 تصنيف المعلومات</t>
  </si>
  <si>
    <t>إرشادات عامة
الهدف الرئيسي من تقييم المخاطر هو تحديد المخاطر التي تحتاج إلى معالجة وترتيب أولوياتها، لا الوصول إلى قائمة مثالية خالية من المخاطر. وقد اتُّبعت في هذا التقييم منهجية موحدة: درجة الخطر = الاحتمالية × التأثير، بمستويات: من 1 إلى 4 منخفض، ومن 5 إلى 10 متوسط، ومن 11 إلى 15 مرتفع، ومن 16 إلى 25 حرج. وهي المنهجية نفسها المعتمدة في منهجية تقييم المخاطر (RT-1) وبيان شهية المخاطر (RT-4) وتقرير تقييم المخاطر (ISMS-DOC-06-3).
وارتبط كل خطر بأصل محدد من سجل الأصول (A-001 إلى A-048)، وبضابط أو أكثر من ضوابط الملحق A، وبخطة معالجة لها مسؤول وموعد وتكلفة، وبخطر متبقٍ بعد المعالجة. وأُدخلت في التقييم نتائج الحوادث الأمنية الخمس السابقة ونتائج آخر فحص للثغرات ونتائج محاكاة التصيد، بما يجعل التقديرات مبنية على أدلة واقعية لا على افتراضات عامة.
وبلغ عدد المخاطر المسجلة 32 خطراً: 6 حرجة و9 مرتفعة و15 متوسطة و2 منخفضة قبل المعالجة، تنخفض بعد المعالجة إلى مرتفعين اثنين و13 متوسطة و17 منخفضة دون أي خطر حرج، بإجمالي تكلفة معالجة قدرها 21,295,000 ريال تُنفذ خلال الفترة 2026-2027.</t>
  </si>
  <si>
    <t>تكرار المراجعة
يُعاد تقييم المخاطر سنوياً ضمن دورة مراجعة الإدارة، وعند وقوع حادث أمني جسيم، أو عند تغيير جوهري في البيئة التقنية أو التنظيمية أو في نطاق النظام، أو عند إدخال خدمة أو نظام جديد. وتُراجع حالة إجراءات المعالجة شهرياً من فريق حوكمة أمن المعلومات وترفع للجنة المخاطر ربع سنوياً. آخر تقييم: 2026-03-08 إلى 2026-03-26، والتقييم القادم: 2027-03-01.</t>
  </si>
  <si>
    <t>إصدار الحزمة
حزمة وثائق نظام إدارة أمن المعلومات لبنك الآفاق الرقمية - الإصدار 1.0 (2026)</t>
  </si>
  <si>
    <t>مصدر النموذج
استُخدم نموذج جاهز من جهة متخصصة (بنك الآفاق الرقمية) كنقطة بداية لإعداد هذه الأداة، وجرى تخصيص محتواه بالكامل ليعكس بيئة بنك الآفاق الرقمية وفق دراسة الحالة المعتمدة، مع الحفاظ على القالب الأصلي ورسومه البيانية وجداوله المحورية دون إعادة تصميم.</t>
  </si>
  <si>
    <t>المحتوى المعتمد
جميع البيانات الواردة في هذه الأداة مشتقة من دراسة الحالة المعتمدة للمشروع ومن الافتراضات المهنية الموثقة، وهي مترابطة مع سجل الأصول وسجل المخاطر وبيان قابلية التطبيق وتقرير تقييم المخاطر وخطة استمرارية الأعمال وتقرير التدقيق الداخلي وتقرير الأداء.</t>
  </si>
  <si>
    <t>ملاحظة
هذه الوثيقة جزء من حزمة أكاديمية تحاكي تطبيق ISO/IEC 27001:2022 في مؤسسة مالية افتراضية، وتُستخدم لأغراض التدريب والتقييم، ولا تمثل بيانات عملاء أو أنظمة حقيقية.</t>
  </si>
  <si>
    <t>تفاصيل تقييم المخاطر - بنك الآفاق الرقمية</t>
  </si>
  <si>
    <t>التصنيف الأمني</t>
  </si>
  <si>
    <t>سري</t>
  </si>
  <si>
    <t>عنوان تقييم المخاطر</t>
  </si>
  <si>
    <t>تقييم المخاطر القائم على الأصول لنظام إدارة أمن المعلومات (ISMS) في بنك الآفاق الرقمية - الجولة الأولى 2026</t>
  </si>
  <si>
    <t>نطاق تقييم المخاطر</t>
  </si>
  <si>
    <t>يشمل نطاق نظام إدارة أمن المعلومات (ISMS) في بنك الآفاق الرقمية جميع الأنشطة والعمليات والأصول والموظفين والموردين الذين يدعمون تقديم الخدمات المصرفية الرقمية والخدمات المصرفية الأخرى في: المقر الرئيسي بالرياض (بما في ذلك مركز البيانات الرئيسي ومركز العمليات الأمنية SOC)، ومركز التعافي من الكوارث بجدة، والفروع الخمسة والعشرين في مناطق الرياض وجدة والدمام والمنطقة الشرقية، ومراكز الصراف الآلي المستقلة (75 موقعاً)، وقنوات الخدمة الرقمية (تطبيق آفاق بلس ومنصة آفاق نت)، والأنظمة الداعمة لها (نظام المعاملات المصرفية الأساسي، نظام إدارة البطاقات، نظام الدفعات الفورية، نظام كشف الاحتيال، قواعد البيانات، البنية التحتية للشبكات، وأنظمة أمن المعلومات). الحدود: الحدود المادية: مباني البنك ومراكز البيانات والفروع. الحدود المنطقية: شبكة البنك الداخلية ومناطقها المعزولة (DMZ، شبكة المدفوعات، بيئات التطوير والاختبار والإنتاج) ومنافذ الاتصال الخارجية مع ساما وشبكة المدفوعات الوطنية والبنوك المراسلة. الحدود التنظيمية: جميع الإدارات المشمولة في النطاق وموظفوها وموردوها.</t>
  </si>
  <si>
    <t>سياق تقييم المخاطر</t>
  </si>
  <si>
    <t>العوامل الخارجية: إشراف البنك المركزي السعودي (ساما) وإطاره التنظيمي للأمن السيبراني، ونظام حماية البيانات الشخصية الصادر عن هيئة البيانات والذكاء الاصطناعي (سدايا)، وتوجيهات الهيئة الوطنية للأمن السيبراني، ومتطلبات مكافحة غسل الأموال وتمويل الإرهاب ومتطلبات البنوك المراسلة الدولية ومعايير PCI DSS، والمنافسة الشديدة في القطاع المصرفي الرقمي، وتزايد هجمات الفدية والتصيد وحجب الخدمة وسلسلة التوريد على القطاع المالي. العوامل الداخلية: طبيعة البنك الرقمية واعتماده الكامل على القنوات الإلكترونية لخدمة أكثر من 500,000 عميل، و2,500 موظف و25 فرعاً و150 جهاز صراف آلي، ومركز بيانات رئيسي من المستوى الثالث في الرياض ومركز تعافٍ في جدة، وميزانية أمن معلومات تبلغ 12 مليون ريال ترتفع إلى 18 مليون ريال، وثقافة تنظيمية ما زالت تحتاج ترسيخ مبدأ «الأمن أولاً»، وفجوات قائمة أبرزها غياب نظام SIEM وإدارة كلمات المرور المميزة يدوياً واستخدام بيانات حقيقية في بيئة الاختبار، إضافة إلى خمسة حوادث أمنية سابقة موثقة في دراسة الحالة.</t>
  </si>
  <si>
    <t>معايير قبول المخاطر</t>
  </si>
  <si>
    <t>تُقبل المخاطر ذات الدرجة من 1 إلى 4 (منخفض) دون معالجة إضافية وتُراقب دورياً. وتُقبل المخاطر من 5 إلى 10 (متوسط) بشروط: وجود ضوابط قائمة فعالة، وموافقة مالك الخطر، ومراجعة ربع سنوية. ولا تُقبل المخاطر من 11 إلى 15 (مرتفع) إلا بخطة معالجة معتمدة من لجنة المخاطر وموعد لا يتجاوز 90 يوماً، ويُسمح بقبول الخطر المتبقي المرتفع بقرار موثق من لجنة المخاطر مع ضوابط تعويضية ومراجعة نصف سنوية. أما المخاطر من 16 إلى 25 (حرج) فهي غير مقبولة إطلاقاً وتتطلب معالجة فورية وإبلاغ مجلس الإدارة خلال 5 أيام عمل وخطة معالجة لا تتجاوز 30 يوماً. ولا يجوز قبول أي خطر يؤدي إلى مخالفة نظامية (ساما أو سدايا) أو إلى تعريض بيانات العملاء الشخصية أو المالية للخطر.</t>
  </si>
  <si>
    <t>الإصدار</t>
  </si>
  <si>
    <t>1.0</t>
  </si>
  <si>
    <t>التاريخ</t>
  </si>
  <si>
    <t>2026-04-02 (نُفذ التقييم في الفترة من 2026-03-08 إلى 2026-03-26)</t>
  </si>
  <si>
    <t>مقيّمو المخاطر</t>
  </si>
  <si>
    <t>الأستاذة سارة الحربي - مدير إدارة أمن المعلومات (قائد التقييم)؛ فريق تقييم المخاطر والثغرات - أخصائيان (إعداد التحليل وجمع الأدلة)</t>
  </si>
  <si>
    <t>المشاركون في تقييم المخاطر</t>
  </si>
  <si>
    <t>المهندس فهد العتيبي - مدير إدارة تقنية المعلومات؛ مدير قسم البنية التحتية والشبكات؛ مدير قسم التطبيقات المصرفية؛ رئيس قسم تطوير البرمجيات؛ مدير قسم قواعد البيانات؛ مدير إدارة العمليات المصرفية؛ مدير إدارة الموارد البشرية؛ مدير الإدارة المالية؛ رئيس إدارة الخزينة والاستثمار؛ مدير إدارة الالتزام والحوكمة؛ مدير إدارة الشؤون القانونية؛ إدارة المشتريات والعقود؛ مدير إدارة المرافق والخدمات العامة؛ فريق العمليات الأمنية (SOC)؛ فريق الاستجابة للحوادث</t>
  </si>
  <si>
    <t>الاعتماد</t>
  </si>
  <si>
    <t>الدكتورة نورة القحطاني - الرئيس التنفيذي (اعتماد نتائج التقييم)؛ لجنة المخاطر (المصادقة على قبول المخاطر المتبقية وخيارات المعالجة)؛ الأستاذ عبدالله المحيسن - رئيس مجلس الإدارة (الإحاطة بالمخاطر الحرجة)</t>
  </si>
  <si>
    <t>تاريخ الاعتماد</t>
  </si>
  <si>
    <t>2026-04-12</t>
  </si>
  <si>
    <t>أداة تقييم ومعالجة المخاطر القائمة على الأصول - بنك الآفاق الرقمية (ISO/IEC 27001:2022)</t>
  </si>
  <si>
    <t>بدأ التقييم بالأصول الأعلى قيمة (قواعد بيانات العملاء والأنظمة المصرفية الأساسية والقنوات الرقمية) ثم التهديدات الأكثر احتمالاً والأعلى أثراً، وفق منهجية موحدة: درجة الخطر = الاحتمالية × التأثير.</t>
  </si>
  <si>
    <t>لتحديث بيانات لوحة المؤشرات والرسوم البيانية، انقر على «تحديث الكل» (Refresh All) من علامة التبويب «البيانات».</t>
  </si>
  <si>
    <t xml:space="preserve"> وصف الخطر</t>
  </si>
  <si>
    <t xml:space="preserve"> التقييم قبل المعالجة</t>
  </si>
  <si>
    <t xml:space="preserve"> خطة المعالجة</t>
  </si>
  <si>
    <t xml:space="preserve"> التقييم بعد المعالجة</t>
  </si>
  <si>
    <t xml:space="preserve"> المرجع</t>
  </si>
  <si>
    <t xml:space="preserve"> مجموعة الأصل</t>
  </si>
  <si>
    <t xml:space="preserve"> الأصل</t>
  </si>
  <si>
    <t xml:space="preserve"> التهديد</t>
  </si>
  <si>
    <t xml:space="preserve"> نقطة الضعف</t>
  </si>
  <si>
    <t xml:space="preserve"> نوع الخطر</t>
  </si>
  <si>
    <t xml:space="preserve"> مالك الخطر</t>
  </si>
  <si>
    <t xml:space="preserve"> الضوابط القائمة</t>
  </si>
  <si>
    <t xml:space="preserve"> الاحتمالية</t>
  </si>
  <si>
    <t xml:space="preserve"> مبرر الاحتمالية</t>
  </si>
  <si>
    <t xml:space="preserve"> التأثير</t>
  </si>
  <si>
    <t xml:space="preserve"> مبرر التأثير</t>
  </si>
  <si>
    <t xml:space="preserve"> درجة الخطر</t>
  </si>
  <si>
    <t xml:space="preserve"> مستوى الخطر</t>
  </si>
  <si>
    <t xml:space="preserve"> خيار المعالجة المختار</t>
  </si>
  <si>
    <t xml:space="preserve"> إجراء المعالجة المقترح</t>
  </si>
  <si>
    <t xml:space="preserve"> مرجع الضابط - الملحق A</t>
  </si>
  <si>
    <t xml:space="preserve"> تكلفة المعالجة</t>
  </si>
  <si>
    <t xml:space="preserve"> مسؤول إجراء المعالجة</t>
  </si>
  <si>
    <t xml:space="preserve"> الموعد المستهدف للإجراء</t>
  </si>
  <si>
    <t xml:space="preserve"> نسبة إنجاز الإجراء</t>
  </si>
  <si>
    <t xml:space="preserve"> حالة الإجراء</t>
  </si>
  <si>
    <t xml:space="preserve"> الاحتمالية بعد المعالجة</t>
  </si>
  <si>
    <t xml:space="preserve"> مبرر الاحتمالية بعد المعالجة</t>
  </si>
  <si>
    <t xml:space="preserve"> التأثير بعد المعالجة</t>
  </si>
  <si>
    <t xml:space="preserve"> مبرر التأثير بعد المعالجة</t>
  </si>
  <si>
    <t xml:space="preserve"> درجة الخطر بعد المعالجة</t>
  </si>
  <si>
    <t xml:space="preserve"> مستوى الخطر بعد المعالجة</t>
  </si>
  <si>
    <t xml:space="preserve"> ملاحظات</t>
  </si>
  <si>
    <t>R-001</t>
  </si>
  <si>
    <t>بيانات العملاء</t>
  </si>
  <si>
    <t>قاعدة بيانات العملاء الرئيسية وقاعدة بيانات المعاملات ونسخها الاحتياطية</t>
  </si>
  <si>
    <t>هجوم برمجيات الفدية (Ransomware) يشفّر قواعد البيانات والنسخ الاحتياطية المتصلة بالشبكة</t>
  </si>
  <si>
    <t>غياب نظام SIEM للكشف المبكر، وعدم عزل نسخ النسخ الاحتياطي (Immutability)، وعدم كفاية قدرات EDR على الخوادم</t>
  </si>
  <si>
    <t>سرية وسلامة وتوافر (CIA)</t>
  </si>
  <si>
    <t>مدير إدارة تقنية المعلومات</t>
  </si>
  <si>
    <t>حل مكافحة البرمجيات الخبيثة (Trend Micro)، ونسخ احتياطي يومي عبر Veritas NetBackup، وتجزئة الشبكة، وتحديثات دورية</t>
  </si>
  <si>
    <t>القطاع المصرفي السعودي هدف متكرر لهجمات الفدية، ورُصدت حملات موجهة ضد بنوك رقمية، وغياب SIEM يقلل فرص الاكتشاف المبكر.</t>
  </si>
  <si>
    <t>توقف كامل للخدمات المصرفية الرقمية وتأثر أكثر من 500,000 عميل، وخسائر تتجاوز 25 مليون ريال، وعقوبات من ساما وأزمة سمعة حادة.</t>
  </si>
  <si>
    <t>التخفيف</t>
  </si>
  <si>
    <t>1) تفعيل نسخ احتياطية غير قابلة للتعديل ومعزولة عن الشبكة (Air-Gapped) مع اختبار استعادة ربع سنوي. 2) ترقية حماية النقاط الطرفية والخوادم إلى EDR/XDR. 3) تشغيل SIEM مع حالات استخدام لكشف الفدية. 4) تنفيذ خطة استجابة محددة لسيناريو الفدية ضمن BCP/DR.</t>
  </si>
  <si>
    <t>A.8.7، A.8.13، A.8.16، A.5.29، A.5.30</t>
  </si>
  <si>
    <t>2026-12-31</t>
  </si>
  <si>
    <t>قيد التنفيذ</t>
  </si>
  <si>
    <t>بعد عزل النسخ وتفعيل EDR وSIEM تصبح فرص نجاح هجوم فدية شامل نادرة، مع بقاء احتمال محدود عبر حساب إداري مخترق.</t>
  </si>
  <si>
    <t>قد يتبقى أثر كبير على خدمة واحدة حرجة قبل اكتمال الاستعادة، لكن دون فقدان بيانات ودون تجاوز هدف زمن الاستعادة.</t>
  </si>
  <si>
    <t>الخطر الأعلى في السجل؛ رُبط بميزانية الأمن المعتمدة (الرفع من 12 إلى 18 مليون ريال) وبخطة التعافي من الكوارث.</t>
  </si>
  <si>
    <t>R-002</t>
  </si>
  <si>
    <t>بيئة Office 365 والبريد المؤسسي وبيانات الإدارة المالية وبيانات اعتماد العملاء</t>
  </si>
  <si>
    <t>هجمات تصيد احتيالي متطورة وانتحال شخصية تنفيذيين لاختراق حسابات الموظفين أو تنفيذ تحويلات احتيالية</t>
  </si>
  <si>
    <t>ضعف الوعي الأمني: 25% من الموظفين نقروا على رابط محاكاة التصيد، و12% أدخلوا بيانات اعتمادهم، و8% فقط أبلغوا، وأعلى نسبة نقر في إدارة التسويق (40%)</t>
  </si>
  <si>
    <t>سرية وسلامة (CI)</t>
  </si>
  <si>
    <t>مدير إدارة أمن المعلومات</t>
  </si>
  <si>
    <t>بوابة البريد الإلكتروني الآمن (Cisco Email Security)، ونظام كشف الاحتيال، وإجراء تحقق هاتفي جزئي للتحويلات الكبيرة، وتوعية سنوية عامة</t>
  </si>
  <si>
    <t>سجل البنك حادثة فعلية (INC-2025-003) استهدفت الإدارة المالية بمبلغ 150,000 ريال، ونتائج المحاكاة الأخيرة تؤكد استمرار قابلية الموظفين للخداع.</t>
  </si>
  <si>
    <t>خسائر مالية محتملة من 5 إلى 25 مليون ريال في حال نجاح تحويل احتيالي أو اختراق حساب يؤدي إلى تسريب بيانات عملاء، مع أثر سمعة كبير.</t>
  </si>
  <si>
    <t>1) تفعيل MFA المقاوم للتصيد (FIDO2) لجميع الموظفين. 2) برنامج توعية شهري مع محاكاة تصيد ربع سنوية وإلزامية تدريب إضافي لمن يقع في المحاكاة. 3) إجراء تحقق إلزامي عبر قناة ثانية لأي تحويل يتجاوز 50,000 ريال. 4) قواعد DMARC/DKIM/SPF صارمة لنطاق البنك.</t>
  </si>
  <si>
    <t>A.5.17، A.6.3، A.8.5، A.5.24، A.5.26</t>
  </si>
  <si>
    <t>2026-11-30</t>
  </si>
  <si>
    <t>MFA المقاوم للتصيد يمنع استخدام بيانات الاعتماد المسروقة، والتدريب الدوري يخفض نسبة النقر المستهدفة إلى أقل من 8%.</t>
  </si>
  <si>
    <t>قد تنجح حملة موجهة عالية الاحتراف في اختراق حساب واحد قبل اكتشافه، ويبقى الأثر محتمل الكبر.</t>
  </si>
  <si>
    <t>مرتبط مباشرة بالحادثتين INC-2025-003 ومحاكاة التصيد 2026-08-10؛ مؤشر الأداء: نسبة النقر في المحاكاة.</t>
  </si>
  <si>
    <t>R-003</t>
  </si>
  <si>
    <t>التطبيقات المصرفية</t>
  </si>
  <si>
    <t>تطبيق آفاق بلس للهاتف المحمول والكود المصدري الخاص به</t>
  </si>
  <si>
    <t>استغلال ثغرات حقن SQL وعدم كفاية التحقق من صحة المدخلات في تطبيق آفاق بلس للوصول إلى بيانات العملاء أو تنفيذ عمليات غير مصرح بها</t>
  </si>
  <si>
    <t>3 ثغرات عالية الخطورة رُصدت في فحص 2026-07-14 وما زالت إحداها دون معالجة، وضعف ممارسات الترميز الآمن ومراجعة الكود الأمني</t>
  </si>
  <si>
    <t>مدير قسم التطبيقات المصرفية</t>
  </si>
  <si>
    <t>جدار حماية تطبيقات الويب (FortiWeb)، وفحص ربع سنوي للثغرات عبر استشاري خارجي، ومراجعة كود جزئية قبل الإصدارات</t>
  </si>
  <si>
    <t>الثغرة العالية الثالثة ما زالت مفتوحة منذ أكثر من شهرين والتطبيق مكشوف لأكثر من 500,000 عميل؛ وسبق رصد ثغرات مكررة من فحوصات سابقة دون معالجة.</t>
  </si>
  <si>
    <t>تسريب بيانات عملاء أو تنفيذ عمليات احتيالية بقيمة 5 إلى 25 مليون ريال، وغرامات تنظيمية من ساما وسدايا، وفقدان ثقة العملاء.</t>
  </si>
  <si>
    <t>1) معالجة الثغرة العالية المتبقية خلال 15 يوماً وفق مستوى الخدمة الزمني المعتمد. 2) تطبيق الترميز الآمن ومراجعة كود إلزامية (SAST) ضمن دورة التطوير. 3) اختبار اختراق سنوي للتطبيق + فحص DAST قبل كل إصدار رئيس. 4) مكتبة تحقق موحدة من المدخلات (Input Validation) لجميع واجهات التطبيق.</t>
  </si>
  <si>
    <t>A.8.8، A.8.25، A.8.26، A.8.28، A.8.29</t>
  </si>
  <si>
    <t>رئيس قسم تطوير البرمجيات</t>
  </si>
  <si>
    <t>2026-10-15</t>
  </si>
  <si>
    <t>بعد إغلاق الثغرات وتطبيق SAST/DAST ومراجعة الكود تصبح فرص استغلال ثغرة معروفة نادرة.</t>
  </si>
  <si>
    <t>قد تظهر ثغرة منطقية جديدة في إصدار لاحق بأثر متوسط حتى معالجتها ضمن نافذة الإصلاح.</t>
  </si>
  <si>
    <t>مرتبط بفجوة G-11 (ثغرات مكررة غير معالجة) ومؤشر أداء: نسبة إغلاق الثغرات الحرجة خلال المدة المحددة.</t>
  </si>
  <si>
    <t>R-004</t>
  </si>
  <si>
    <t>منصة آفاق نت للخدمات المصرفية عبر الإنترنت</t>
  </si>
  <si>
    <t>استغلال الثغرات المتوسطة في منصة آفاق نت (إدارة الجلسات ومعالجة المدخلات) للوصول غير المصرح به إلى حسابات عملاء الشركات</t>
  </si>
  <si>
    <t>7 ثغرات متوسطة الخطورة رُصدت في فحص 2026-07-14 ومعظمها دون معالجة، وتأخر دورة الترقيع للتطبيقات</t>
  </si>
  <si>
    <t>جدار حماية تطبيقات الويب، ومصادقة متعددة العوامل للعملاء، ومراقبة جلسات الدخول، وفحص ربع سنوي</t>
  </si>
  <si>
    <t>الثغرات متوسطة الخطورة ومحمية جزئياً بـWAF وMFA، لكن بقاءها دون معالجة يزيد احتمال استغلالها المتراكم.</t>
  </si>
  <si>
    <t>انكشاف محدود لبيانات عملاء شركات أو تعطيل جزئي للخدمة بخسائر من 1 إلى 5 ملايين ريال وأثر سمعة متوسط.</t>
  </si>
  <si>
    <t>1) إغلاق الثغرات السبع المتوسطة ضمن دورة الإصدار القادمة (30 يوماً). 2) ضبط مهلة انتهاء الجلسات وإلزام إعادة المصادقة للعمليات الحساسة. 3) إدراج المنصة في نطاق اختبار الاختراق السنوي.</t>
  </si>
  <si>
    <t>A.8.8، A.8.5، A.8.29</t>
  </si>
  <si>
    <t>2026-10-31</t>
  </si>
  <si>
    <t>إغلاق الثغرات وضبط الجلسات يقلل الاحتمالية إلى مستوى نادر.</t>
  </si>
  <si>
    <t>يبقى أثر أي انكشاف محدود متوسطاً لطبيعة بيانات عملاء الشركات.</t>
  </si>
  <si>
    <t>يُتابع ضمن خطة معالجة الثغرات الشهرية لفريق تقييم المخاطر والثغرات.</t>
  </si>
  <si>
    <t>R-005</t>
  </si>
  <si>
    <t>البيانات التقنية والأمنية</t>
  </si>
  <si>
    <t>كلمات المرور الإدارية ومفاتيح الوصول ونظام الدليل النشط</t>
  </si>
  <si>
    <t>إساءة استخدام الصلاحيات الإدارية أو اختراق حساب مسؤول عبر كلمات مرور مشتركة أو مخزنة يدوياً للسيطرة على بيئة البنك</t>
  </si>
  <si>
    <t>عدم وجود نظام لإدارة الوصول المميّز (PAM)؛ تُدار كلمات مرور المسؤولين يدوياً وتُشارك بين المهندسين (فجوة G-03)</t>
  </si>
  <si>
    <t>تقييد عدد الحسابات الإدارية، ومصادقة متعددة العوامل (RSA SecurID) لبعض الأنظمة الحساسة، وسجلات دخول AD</t>
  </si>
  <si>
    <t>المشاركة اليدوية لكلمات المرور قائمة حالياً وتشمل عشرات الحسابات الإدارية؛ أي موظف سابق أو جهاز مخترق قد يكشفها.</t>
  </si>
  <si>
    <t>اختراق حساب إداري يتيح الوصول إلى بيانات العملاء وتعديل التكوينات وتعطيل الأنظمة، بخسائر 5 إلى 25 مليون ريال وغرامات تنظيمية.</t>
  </si>
  <si>
    <t>1) توريد وتشغيل نظام PAM مع خزنة كلمات مرور وتدوير آلي كل 24 ساعة للحسابات المميّزة. 2) حظر مشاركة الحسابات وإسناد كل حساب إداري لفرد محدد. 3) تسجيل جلسات الوصول الإداري بالفيديو (Session Recording). 4) مراجعة ربع سنوية للحسابات المميّزة وإلغاء غير المستخدم منها.</t>
  </si>
  <si>
    <t>A.5.18، A.8.2، A.8.5، A.8.15، A.8.18</t>
  </si>
  <si>
    <t>مدير قسم البنية التحتية والشبكات</t>
  </si>
  <si>
    <t>2027-01-31</t>
  </si>
  <si>
    <t>بعد تشغيل PAM والتدوير الآلي وتسجيل الجلسات يصبح اختراق حساب إداري حدثاً نادراً وسهل الاكتشاف.</t>
  </si>
  <si>
    <t>يبقى الأثر كبيراً في حال نجاح اختراق رغم الضوابط بسبب اتساع صلاحيات الحسابات الإدارية.</t>
  </si>
  <si>
    <t>أحد أهم الفجوات الجوهرية (G-03) المرتبطة بالضابطين A.5.18 وA.8.2؛ المشروع معتمد ضمن ميزانية 2026.</t>
  </si>
  <si>
    <t>R-006</t>
  </si>
  <si>
    <t>بيانات الموظفين</t>
  </si>
  <si>
    <t>قاعدة بيانات الموارد البشرية والرواتب ومجلدات الشبكة المشتركة</t>
  </si>
  <si>
    <t>وصول غير مصرح به إلى ملفات الموظفين الشخصية وبيانات الرواتب وتقييمات الأداء نتيجة صلاحيات موروثة أو زائدة</t>
  </si>
  <si>
    <t>غياب عملية مراجعة دورية لصلاحيات الوصول، وبقاء صلاحيات ممنوحة لمشاريع منتهية (فجوة G-10)، وعدم ربط إغلاق المشاريع بسحب الصلاحيات</t>
  </si>
  <si>
    <t>سرية (C)</t>
  </si>
  <si>
    <t>مدير إدارة الموارد البشرية</t>
  </si>
  <si>
    <t>مجموعات أمنية في Active Directory، وصلاحيات على مستوى المجلدات، ومراجعة روتينية غير مجدولة كشفت الحالة السابقة</t>
  </si>
  <si>
    <t>رُصدت الحالة فعلاً في 2026-06-21 (INC-2026-009) وكانت الصلاحيات قائمة منذ سنتين دون اكتشاف، مما يؤكد تكرار السبب الجذري.</t>
  </si>
  <si>
    <t>كشف بيانات شخصية لـ2,500 موظف يترتب عليه مخالفات لنظام حماية البيانات الشخصية وشكاوى عمالية وأثر سمعة داخلي بخسائر 1 إلى 5 ملايين ريال.</t>
  </si>
  <si>
    <t>1) تنفيذ مراجعة ربع سنوية لإجمالي صلاحيات الوصول (UAR) يوقّعها مالك كل أصل. 2) إدراج بند سحب الصلاحيات في قائمة إنجاز إغلاق أي مشروع. 3) تطبيق مبدأ الحد الأدنى من الصلاحيات وإعادة هيكلة مجموعات AD للبيانات الحساسة. 4) تنبيه آلي عند إضافة حساب لمجموعة ذات صلاحية على بيانات حساسة.</t>
  </si>
  <si>
    <t>A.5.18، A.5.15، A.8.3، A.5.3</t>
  </si>
  <si>
    <t>المراجعة الربع سنوية والتنبيهات الآلية تجعل بقاء صلاحية زائدة لفترة طويلة أمراً نادراً.</t>
  </si>
  <si>
    <t>يبقى أثر أي انكشاف لبيانات الموظفين متوسطاً لارتفاعه خلال فترة بقاء الصلاحية.</t>
  </si>
  <si>
    <t>مرتبط بالحادثة INC-2026-009 وبنتيجة التدقيق الداخلي (حالة عدم مطابقة NC-02).</t>
  </si>
  <si>
    <t>R-007</t>
  </si>
  <si>
    <t>البنية التحتية والأجهزة</t>
  </si>
  <si>
    <t>أجهزة المستخدم النهائي المحمولة والنسخ المحلية من بيانات العملاء</t>
  </si>
  <si>
    <t>فقدان أو سرقة حاسوب محمول أو جهاز ذكي يحتوي بيانات عملاء أو بيانات مصرفية غير مشفرة</t>
  </si>
  <si>
    <t>تشفير BitLocker غير مفعل على جميع الأجهزة (92% حالياً)، وتخزين موظفين نسخاً محلية من بيانات العملاء، وتأخر الإبلاغ عن الفقدان</t>
  </si>
  <si>
    <t>مدير قسم الدعم الفني</t>
  </si>
  <si>
    <t>كلمات مرور للأجهزة، وحظر تخزين بيانات العملاء جزئياً عبر سياسة الاستخدام المقبول، وسجل أصول للأجهزة</t>
  </si>
  <si>
    <t>وقعت حادثة فعلية قبل 9 أشهر (INC-2025-011) والأجهزة متنقلة بين الفروع ورحلات العمل؛ 8% من الأجهزة ما زالت غير مشفرة.</t>
  </si>
  <si>
    <t>تسريب بيانات عملاء يوجب إبلاغ ساما وسدايا والعملاء المتأثرين، مع غرامة تنظيمية وتكاليف خدمات مراقبة سرقة الهوية وخسائر 5 إلى 25 مليون ريال.</t>
  </si>
  <si>
    <t>1) إكمال تفعيل BitLocker على 100% من الأجهزة المحمولة عبر Intune خلال 30 يوماً. 2) منع تخزين بيانات العملاء محلياً وتطبيق DLP على الأجهزة الطرفية. 3) خفض زمن الإبلاغ الإلزامي عن فقدان أي جهاز إلى 4 ساعات. 4) إمكانية المسح عن بُعد (Remote Wipe) لجميع الأجهزة المسجلة.</t>
  </si>
  <si>
    <t>A.7.9، A.7.10، A.7.14، A.8.24، A.8.12</t>
  </si>
  <si>
    <t>التشفير الكامل يجعل فقد الجهاز غير مؤثر على سرية البيانات، ويبقى احتمال الفقدان نفسه قائماً.</t>
  </si>
  <si>
    <t>مع التشفير ومنع التخزين المحلي ينخفض الأثر إلى تعطيل عمل موظف واحد دون انكشاف بيانات.</t>
  </si>
  <si>
    <t>مرتبط بالحادثة INC-2025-011 والفجوة G-08؛ مؤشر الأداء: نسبة الأجهزة المشفرة.</t>
  </si>
  <si>
    <t>R-008</t>
  </si>
  <si>
    <t>الشهادات الرقمية ومفاتيح التشفير لموقع البنك وبوابة آفاق نت</t>
  </si>
  <si>
    <t>انتهاء صلاحية الشهادات الرقمية (SSL/TLS) أو إساءة إدارة مفاتيح التشفير بما يعطل الخدمات أو يفك تشفير الاتصالات</t>
  </si>
  <si>
    <t>عدم وجود سجل مركزي للشهادات الرقمية ولا نظام آلي للتنبيه قبل انتهاء الصلاحية (سبب الحادثة INC-2026-004)</t>
  </si>
  <si>
    <t>توافر (A)</t>
  </si>
  <si>
    <t>متابعة يدوية غير منتظمة لتواريخ الانتهاء من قبل فريق البنية التحتية</t>
  </si>
  <si>
    <t>وقعت الحادثة فعلاً قبل 6 أشهر واستمرت 4 ساعات؛ والمتابعة ما زالت يدوية جزئياً رغم بدء تنفيذ السجل المركزي.</t>
  </si>
  <si>
    <t>ظهور تحذيرات أمنية للعملاء وأثر سمعة واسع استغرق أسبوعاً لمعالجته، مع خسائر 1 إلى 5 ملايين ريال واحتمال ملاحظات رقابية.</t>
  </si>
  <si>
    <t>1) إنشاء سجل مركزي لجميع الشهادات الرقمية ومفاتيح التشفير مع مالك محدد لكل شهادة. 2) تنبيه آلي قبل 60 و30 و7 أيام من انتهاء الصلاحية. 3) أتمتة تجديد الشهادات الداخلية عبر خدمات الشهادات المؤسسية. 4) إدراج الشهادات في قائمة المراجعة الشهرية للعمليات.</t>
  </si>
  <si>
    <t>A.8.24، A.5.9، A.5.37، A.8.16</t>
  </si>
  <si>
    <t>2026-09-30</t>
  </si>
  <si>
    <t>مكتمل</t>
  </si>
  <si>
    <t>الأتمتة والتنبيهات المتدرجة تجعل انتهاء صلاحية شهادة دون انتباه أمراً نادر الحدوث جداً.</t>
  </si>
  <si>
    <t>يبقى الأثر متوسطاً في حال فشل عملية تجديد محددة بسبب أثره المباشر على ثقة العملاء.</t>
  </si>
  <si>
    <t>مرتبط بالحادثة INC-2026-004؛ يُقاس بمؤشر: عدد الشهادات المنتهية دون تجديد (المستهدف صفر).</t>
  </si>
  <si>
    <t>R-009</t>
  </si>
  <si>
    <t>أنظمة أمن المعلومات</t>
  </si>
  <si>
    <t>جدار الحماية الرئيسي وقنوات الخدمات المصرفية الرقمية ووثائق الشبكة</t>
  </si>
  <si>
    <t>خطأ بشري أثناء تنفيذ تغييرات على إعدادات الشبكة أو جدار الحماية يؤدي إلى انقطاع الخدمات المصرفية الرقمية</t>
  </si>
  <si>
    <t>عدم وجود مراجعة ثنائية (Four-Eyes) للتغييرات الحرجة، وغياب خطة تراجع سريعة، وضعف مراقبة أداء وتوافر التطبيقات (فجوة G-07)</t>
  </si>
  <si>
    <t>سلامة وتوافر (IA)</t>
  </si>
  <si>
    <t>إجراءات تغيير موثقة جزئياً، وبيئة اختبار منفصلة، ونسخ احتياطي لتكوينات الأجهزة</t>
  </si>
  <si>
    <t>وقع الحادث الأكبر قبل عامين (INC-2024-001) واستمر 3 ساعات في ذروة فترة الرواتب؛ التغييرات الحرجة ما زالت تنفذ بوتيرة عالية مع توسع الخدمات.</t>
  </si>
  <si>
    <t>انقطاع كامل للقنوات الرقمية لأكثر من 500,000 عميل، وأكثر من 5,000 شكوى، وخسائر تتجاوز 25 مليون ريال مع تدخل رقابي محتمل من ساما.</t>
  </si>
  <si>
    <t>1) فرض مراجعة ثنائية إلزامية واعتماد مسبق لأي تغيير على أجهزة الشبكة وجدران الحماية. 2) توثيق خطة تراجع (Rollback) واختبارها لكل تغيير حرج. 3) مراقبة لحظية لتوافر التطبيقات الرئيسية مع تنبيه خلال دقيقة. 4) تنفيذ التغييرات الحرجة خارج أوقات الذروة ووفق نافذة تغيير معتمدة.</t>
  </si>
  <si>
    <t>A.8.32، A.8.20، A.8.21، A.5.37، A.8.16</t>
  </si>
  <si>
    <t>المراجعة الثنائية وخطة التراجع ونوافذ التغيير تجعل تكرار خطأ مماثل نادر الحدوث جداً.</t>
  </si>
  <si>
    <t>يبقى أثر أي انقطاع غير متوقع كبيراً لاعتماد جميع الخدمات المصرفية على الشبكة.</t>
  </si>
  <si>
    <t>مرتبط بالحادثة INC-2024-001 والفجوة G-07؛ الدروس المستفادة موثقة الآن ضمن إجراء إدارة التغيير.</t>
  </si>
  <si>
    <t>R-010</t>
  </si>
  <si>
    <t>القنوات الرقمية (آفاق بلس وآفاق نت) ونظام الدفعات الفورية وروابط الاتصال</t>
  </si>
  <si>
    <t>هجوم حجب الخدمة الموزع (DDoS) يعطّل الخدمات المصرفية الرقمية وشبكة المدفوعات الفورية</t>
  </si>
  <si>
    <t>عدم وجود خدمة تنظيف حركة مرور (Scrubbing) مخصصة، واعتماد الحماية على جدران الحماية وحدود النطاق الترددي للمزود</t>
  </si>
  <si>
    <t>روابط اتصال مزدوجة مع مزود الإنترنت، وجدار حماية بخاصية منع التسلل، ومراقبة يدوية لحجم الحركة</t>
  </si>
  <si>
    <t>هجمات DDoS على البنوك الرقمية في المنطقة متكررة، والبنك يعتمد كلياً على القنوات الرقمية في تجربة العميل، والحماية الحالية غير متخصصة.</t>
  </si>
  <si>
    <t>تعطل القنوات الرقمية لساعات في أوقات الذروة بخسائر 5 إلى 25 مليون ريال، وفقدان ثقة العملاء، واحتمال ملاحظات من ساما بشأن التوافر.</t>
  </si>
  <si>
    <t>1) التعاقد مع خدمة تنظيف حركة مرور (DDoS Scrubbing) مع مزود متخصص. 2) توزيع الحمل واستخدام CDN للمحتوى الثابت. 3) خطة استجابة محددة لسيناريو DDoS ضمن BCP مع اختبار سنوي. 4) اتفاقية مستوى خدمة مع STC لضمان سعة احتياطية.</t>
  </si>
  <si>
    <t>A.8.6، A.8.14، A.5.29، A.5.30، A.8.20</t>
  </si>
  <si>
    <t>خدمة التنظيف وتوزيع الحمل تخفضان الاحتمالية، لكن تبقى البنوك الرقمية هدفاً مستمراً لهجمات واسعة النطاق قد تتجاوز السعة المتعاقد عليها.</t>
  </si>
  <si>
    <t>يبقى الأثر كبيراً في حال هجوم يفوق سعة التنظيف، وإن تحوّل الانقطاع الكامل إلى تعطيل جزئي ومؤقت لبعض الخدمات.</t>
  </si>
  <si>
    <t>خطر متبقٍ مرتفع (12) مقبول من لجنة المخاطر بتاريخ 2026-04-12 مع مراقبة شهرية وتنبيه فوري لأي هجوم يتجاوز سعة التنظيف؛ مرتبط بسيناريو BCP-02.</t>
  </si>
  <si>
    <t>R-011</t>
  </si>
  <si>
    <t>خادم النسخ الاحتياطي ومكتبة الأشرطة وأنظمة التخزين المركزية</t>
  </si>
  <si>
    <t>فشل النسخ الاحتياطي أو عدم قابلية الاستعادة عند الحاجة إليها بسبب أخطاء تشغيلية أو تلف وسائط أو إصابة النسخ</t>
  </si>
  <si>
    <t>عدم إجراء اختبارات استعادة دورية موثقة، وارتباط خادم النسخ الاحتياطي بالشبكة دون عزل، ومراقبة يدوية لنجاح مهام النسخ</t>
  </si>
  <si>
    <t>جدول نسخ احتياطي يومي عبر Veritas NetBackup، ونقل أشرطة أسبوعي إلى موقع خارجي في جدة، ومراجعة يدوية لسجلات المهام</t>
  </si>
  <si>
    <t>النسخ يُنفذ يومياً بنجاح بنسبة 97% ولم تُسجل حالة فشل شامل سابقة، لكن غياب اختبارات الاستعادة الدورية يُبقي احتمال الفشل غير المكتشف قائماً.</t>
  </si>
  <si>
    <t>فقدان بيانات العملاء أو المعاملات غير قابل للاستعادة يعني خسائر تتجاوز 25 مليون ريال وعقوبات رقابية مشددة وتهديداً لاستمرارية البنك.</t>
  </si>
  <si>
    <t>1) اختبار استعادة كامل ربع سنوي موثق النتائج لقواعد البيانات الحرجة. 2) تفعيل نسخ غير قابلة للتعديل (Immutable) ومعزولة عن نطاق AD. 3) تنبيه آلي فوري عند فشل أي مهمة نسخ ومتابعة يومية من SOC. 4) تدوير وسائط الأشرطة واستبدالها وفق دورة حياة معتمدة.</t>
  </si>
  <si>
    <t>A.8.13، A.8.14، A.5.30، A.8.16</t>
  </si>
  <si>
    <t>اختبارات الاستعادة الربع سنوية والنسخ المعزولة تجعل فشل الاستعادة نادر الحدوث جداً.</t>
  </si>
  <si>
    <t>يبقى الأثر كبيراً في سيناريو الفشل الجزئي رغم الضوابط لأهمية البيانات المنسوخة.</t>
  </si>
  <si>
    <t>مرتبط بهدف زمن الاستعادة (RTO) وهدف نقطة الاستعادة (RPO) في خطة BCP/DR ومؤشر نجاح النسخ الاحتياطي.</t>
  </si>
  <si>
    <t>R-012</t>
  </si>
  <si>
    <t>المرافق والأمن المادي</t>
  </si>
  <si>
    <t>مركز البيانات الرئيسي والبنية التحتية للمرافق والخوادم الفعلية</t>
  </si>
  <si>
    <t>كارثة مادية (حريق، فشل تكييف، انقطاع طاقة مطوّل، تسرب مياه) تعطل مركز البيانات الرئيسي في الرياض</t>
  </si>
  <si>
    <t>اعتماد العمليات على موقع واحد رئيسي، وصيانة وقائية ربع سنوية فقط للمولدات، وعدم اختبار خطة الانتقال إلى مركز التعافي بجدة خلال آخر 12 شهراً</t>
  </si>
  <si>
    <t>مدير إدارة المرافق والخدمات العامة</t>
  </si>
  <si>
    <t>أنظمة UPS ومولدات احتياطية وتكييف دقيق وأنظمة إخماد حريق، ومركز تعافي من الكوارث في جدة، وروابط مزدوجة</t>
  </si>
  <si>
    <t>مركز البيانات من المستوى الثالث (Tier III) مع مرافق redundant، ولم تُسجل حوادث مادية جوهرية سابقاً؛ يبقى احتمال الحريق أو فشل الطاقة قائماً.</t>
  </si>
  <si>
    <t>تعطل جميع الأنظمة المصرفية وخسائر تتجاوز 25 مليون ريال يومياً، مع التزام بالإبلاغ الفوري لساما وأثر سمعة جسيم.</t>
  </si>
  <si>
    <t>1) اختبار شامل للانتقال إلى مركز التعافي بجدة مرة سنوياً موثق النتائج. 2) رفع الصيانة الوقائية للمولدات وUPS إلى شهرية مع اختبار حِمل فعلي. 3) تحديث تحليل أثر الأعمال (BIA) واعتماد أهداف RTO/RPO. 4) تأمين المرافق ضد الكوارث ضمن وثيقة التأمين الشاملة.</t>
  </si>
  <si>
    <t>A.5.29، A.5.30، A.7.5، A.7.11، A.8.14</t>
  </si>
  <si>
    <t>وجود مركز تعافي جغرافياً معزولاً ومُختبر يجعل تحقق الأثر الكامل للكارثة نادر الحدوث جداً.</t>
  </si>
  <si>
    <t>يبقى أثر الانتقال نفسه كبيراً خلال نافذة الاستعادة حتى اكتمال رفع قدرات مركز جدة.</t>
  </si>
  <si>
    <t>مرتبط بسيناريوهات BCP-01 وBCP-07 ومؤشر: نجاح اختبار التعافي السنوي.</t>
  </si>
  <si>
    <t>R-013</t>
  </si>
  <si>
    <t>الموردون والخدمات الخارجية</t>
  </si>
  <si>
    <t>شركة تطوير تطبيقات الهاتف المتعاقد معها لتطوير جزء من تطبيق آفاق بلس</t>
  </si>
  <si>
    <t>اختراق بيئة المورد أو إساءة استخدامه لصلاحياته بما يؤدي إلى تسريب الكود المصدري أو إدخال ثغرات أو أبواب خلفية في تطبيق آفاق بلس</t>
  </si>
  <si>
    <t>منح المطورين الخارجيين وصولاً إلى مستودع الكود وبيئة الاختبار دون متطلبات أمنية تعاقدية مفصلة، واستخدام بيانات حقيقية في الاختبار (فجوة G-04)</t>
  </si>
  <si>
    <t>إدارة المشتريات والعقود</t>
  </si>
  <si>
    <t>اتفاقية سرية (NDA)، وحسابات مطورين مخصصة في GitLab، ومراجعة كود داخلية قبل الدمج</t>
  </si>
  <si>
    <t>للمورد وصول فعلي ومستمر إلى الكود المصدري للتطبيق الأهم لدى البنك، وهجمات سلسلة التوريد على القطاع المالي في تزايد.</t>
  </si>
  <si>
    <t>تسريب الكود المصدري أو إدخال ثغرة متعمدة يعرّض بيانات 500,000 عميل للخطر بخسائر 5 إلى 25 مليون ريال وغرامات تنظيمية.</t>
  </si>
  <si>
    <t>1) تحديث العقد ليشمل متطلبات أمن المعلومات وحق التدقيق والإبلاغ عن الحوادث خلال 24 ساعة. 2) تقييم أمني للمورد قبل التجديد ومراجعة سنوية. 3) تقييد وصول المورد على مستودع الكود بأقل الصلاحيات وMFA وتسجيل الجلسات. 4) منع استخدام بيانات حقيقية في بيئة الاختبار وتوفير بيانات اصطناعية.</t>
  </si>
  <si>
    <t>A.5.19، A.5.20، A.5.21، A.5.22، A.8.30</t>
  </si>
  <si>
    <t>المتطلبات التعاقدية والتقييم الأمني وتقييد الوصول تخفض الاحتمالية إلى مستوى نادر.</t>
  </si>
  <si>
    <t>يبقى الأثر كبيراً لاحتمال وصول المورد إلى الكود المصدري الحساس رغم الضوابط.</t>
  </si>
  <si>
    <t>مرتبط بمخاطر سلسلة التوريد (R-028) وبنتيجة التدقيق (ملاحظة OFI-03) حول اكتمال سجل الموردين.</t>
  </si>
  <si>
    <t>R-014</t>
  </si>
  <si>
    <t>الخدمة السحابية (AWS) المستضافة عليها الأنظمة غير الحرجة ومنصة Qualys</t>
  </si>
  <si>
    <t>سوء تكوين موارد السحابة من قبل البنك أو انقطاع خدمة المزود بما يعطل الأنظمة غير الحرجة أو يكشف بيانات محدودة</t>
  </si>
  <si>
    <t>عدم وجود مراجعة دورية لتكوينات السحابة وفق خط أساس معتمد، واعتماد نموذج المسؤولية المشتركة دون توثيق تفصيلي للمسؤوليات</t>
  </si>
  <si>
    <t>سرية وتوافر (CA)</t>
  </si>
  <si>
    <t>حساب AWS ضمن تنظيم البنك مع صلاحيات IAM مقيدة، ونسخ احتياطي لبعض الموارد، ومراقبة فواتير واستخدام</t>
  </si>
  <si>
    <t>لا تُستضاف بيانات عملاء إنتاجية على السحابة، والاستخدام محدود بمنصة الفحص وبيئات تطوير، مع صلاحيات IAM مقيدة.</t>
  </si>
  <si>
    <t>تعطل أدوات الفحص وبيئات التطوير يؤخر المشاريع والإصدارات بخسائر 1 إلى 5 ملايين ريال وأثر تشغيلي محدود.</t>
  </si>
  <si>
    <t>1) اعتماد خط أساس لتكوينات AWS ومراجعته آلياً شهرياً. 2) توثيق نموذج المسؤولية المشتركة وتوزيع المهام. 3) تفعيل MFA على حساب root وحسابات IAM الإدارية. 4) تفعيل تسجيل CloudTrail ومراجعة السجلات ضمن SOC.</t>
  </si>
  <si>
    <t>A.5.23، A.8.9، A.5.20، A.8.2</t>
  </si>
  <si>
    <t>المراجعة الآلية وخط الأساس يجعلان سوء التكوين غير المكتشف نادر الحدوث جداً.</t>
  </si>
  <si>
    <t>يبقى الأثر متوسطاً لاعتماد أدوات أمنية وتشغيلية على الخدمة.</t>
  </si>
  <si>
    <t>خارج النطاق الإنتاجي الحرج؛ يظل مشمولاً في ISMS ضمن مسؤولية أمن مشتركة موثقة.</t>
  </si>
  <si>
    <t>R-015</t>
  </si>
  <si>
    <t>بيئات التطوير والاختبار ومستودع البيانات والكود المصدري</t>
  </si>
  <si>
    <t>تسريب بيانات عملاء حقيقية مستخدمة في بيئات الاختبار أو التطوير أو انكشافها على مطورين غير مخولين</t>
  </si>
  <si>
    <t>استخدام بيانات حقيقية في بيئة الاختبار، وعدم كفاية فصل بيئات التطوير والاختبار والإنتاج، وغياب آلية إخفاء البيانات (فجوة G-04)</t>
  </si>
  <si>
    <t>فصل منطقي جزئي للبيئات على VMware، وصلاحيات مقيدة على مستودع الكود، واتفاقيات سرية مع المطورين</t>
  </si>
  <si>
    <t>الممارسة قائمة فعلياً في بيئات الاختبار حالياً، وعدد المطورين 25 إضافة إلى مطوري المورد الخارجي، مما يوسع دائرة الوصول.</t>
  </si>
  <si>
    <t>انكشاف بيانات شخصية ومصرفية لعملاء في بيئة أقل حماية يوجب إبلاغ سدايا بخسائر 1 إلى 5 ملايين ريال وأثر سمعة.</t>
  </si>
  <si>
    <t>التجنب</t>
  </si>
  <si>
    <t>التخلص من مصدر الخطر بمنع استخدام أي بيانات عملاء حقيقية في بيئات التطوير والاختبار نهائياً، وذلك عبر: 1) إنشاء مجموعة بيانات اختبار اصطناعية (Synthetic) لجميع بيئات الاختبار. 2) تطبيق إخفاء البيانات (Data Masking) على أي نسخة من مستودع البيانات. 3) فصل شبكي كامل بين بيئات التطوير والاختبار والإنتاج ومنع نسخ البيانات بينها. 4) حظر تقني لنقل بيانات الإنتاج إلى البيئات الأدنى.</t>
  </si>
  <si>
    <t>A.8.33، A.8.31، A.8.11، A.8.22</t>
  </si>
  <si>
    <t>البيانات الاصطناعية والفصل الشبكي يخفضان الاحتمالية إلى مستوى نادر.</t>
  </si>
  <si>
    <t>يتحول الأثر إلى انكشاف بيانات مجهولة أو اصطناعية منخفضة الحساسية.</t>
  </si>
  <si>
    <t>مرتبط بالفجوة G-04 والضوابط A.8.11 وA.8.31 وA.8.33 وحالة عدم المطابقة NC-03 في التدقيق الداخلي.</t>
  </si>
  <si>
    <t>R-016</t>
  </si>
  <si>
    <t>الحسابات الإدارية وقواعد بيانات العملاء والمعاملات</t>
  </si>
  <si>
    <t>تهديد داخلي: إساءة استخدام موظف حالي أو سابق لصلاحياته لسرقة أو تعديل بيانات العملاء أو المعاملات المالية</t>
  </si>
  <si>
    <t>صلاحيات إدارية واسعة غير مقيدة بمبدأ الحد الأدنى، ومشاركة كلمات المرور، وغياب مراقبة سلوكية للمستخدمين المميّزين</t>
  </si>
  <si>
    <t>اتفاقيات سرية، وفحص أمني قبل التوظيف لبعض الوظائف، وسجلات دخول، وإجراءات تأديبية معتمدة</t>
  </si>
  <si>
    <t>عدد الموظفين 2,500 مع دوران 12% في تقنية المعلومات، والصلاحيات الإدارية واسعة حالياً؛ لا توجد سوابق مؤكدة لكن الحوافز قائمة في القطاع.</t>
  </si>
  <si>
    <t>سرقة أو تعديل بيانات عملاء ومعاملات بخسائر 5 إلى 25 مليون ريال، وغرامات، وأثر سمعة جسيم على بنك رقمي.</t>
  </si>
  <si>
    <t>1) تطبيق مبدأ الحد الأدنى من الصلاحيات ومراجعة ربع سنوية. 2) تشغيل PAM مع تسجيل جلسات الوصول المميّز. 3) تنبيهات على الاستعلامات غير الاعتيادية على قواعد بيانات العملاء (مثل استخراج دفعات كبيرة). 4) تفعيل إجراء إنهاء الخدمة وسحب الصلاحيات خلال 4 ساعات.</t>
  </si>
  <si>
    <t>A.5.3، A.5.18، A.8.2، A.6.5، A.8.16</t>
  </si>
  <si>
    <t>تسجيل الجلسات والتنبيهات السلوكية تجعل إساءة الاستخدام دون اكتشاف أمراً نادراً.</t>
  </si>
  <si>
    <t>يبقى الأثر كبيراً لطبيعة البيانات المتاحة للموظفين المميّزين.</t>
  </si>
  <si>
    <t>مرتبط بـR-005 وR-006؛ يشمل ضوابط الموارد البشرية A.6.1 وA.6.5 وA.6.6.</t>
  </si>
  <si>
    <t>R-017</t>
  </si>
  <si>
    <t>أنظمة دعم الأعمال</t>
  </si>
  <si>
    <t>نظام الرواتب القديم (سيبيرولا - Legacy) وقاعدة بيانات الموارد البشرية</t>
  </si>
  <si>
    <t>تعطل نظام الرواتب القديم أو استغلال ثغراته بسبب انتهاء دعم المورد وعدم توافقه مع معايير التشفير الحديثة</t>
  </si>
  <si>
    <t>نظام موروث لا يتلقى تحديثات أمنية منتظمة، وتكامله مع أنظمة حديثة عبر واجهات غير موثقة، وخطة الاستبدال تمتد لسنتين</t>
  </si>
  <si>
    <t>عزل النظام في شبكة فرعية منفصلة، ونسخ احتياطي يومي، ووصول مقيد لفريق الرواتب</t>
  </si>
  <si>
    <t>النظام قديم وغير مدعوم بالكامل، ويعالج رواتب 2,500 موظف شهرياً، والاستبدال لن يكتمل قبل 2028.</t>
  </si>
  <si>
    <t>تعطل صرف الرواتب في موعده يمس التزامات البنك النظامية تجاه موظفيه بخسائر 5 إلى 25 مليون ريال وأثر سمعة داخلي وخارجي.</t>
  </si>
  <si>
    <t>1) تسريع مشروع استبدال النظام مع مرحلة انتقالية مزدوجة. 2) دعم ممتد من المورد بعقد صيانة أمنية حتى الاستبدال. 3) عزل إضافي للنظام ومراقبة حركة الاتصالات الصادرة منه. 4) إجراء تحويل رواتب بديل يدوي موثق ضمن BCP.</t>
  </si>
  <si>
    <t>A.5.37، A.8.8، A.5.29، A.8.20</t>
  </si>
  <si>
    <t>2027-06-30</t>
  </si>
  <si>
    <t>يبقى النظام قيد التشغيل حتى الاستبدال مع ضوابط تعويضية محدودة الفعالية.</t>
  </si>
  <si>
    <t>أثر تعطل صرف الرواتب كبير ولا يمكن تخفيضه قبل اكتمال الاستبدال.</t>
  </si>
  <si>
    <t>خطر متبقٍ مرتفع (12) مقبول من لجنة المخاطر حتى 2027-06-30 مع مراجعة نصف سنوية؛ أحد مبررات عدم اكتمال الضابط A.8.8.</t>
  </si>
  <si>
    <t>R-018</t>
  </si>
  <si>
    <t>البيانات التنظيمية والحوكمة</t>
  </si>
  <si>
    <t>الوثائق التنظيمية ومراسلات الجهات الرقابية وخطط استمرارية الأعمال</t>
  </si>
  <si>
    <t>عدم الامتثال لمتطلبات البنك المركزي السعودي (ساما) والهيئة الوطنية للأمن السيبراني والإبلاغ عن الحوادث في الوقت النظامي</t>
  </si>
  <si>
    <t>عدم وجود سجل موحد ومحدَّث للمتطلبات القانونية والتنظيمية والتعاقدية، وتأخر ربط متطلبات ساما بالضوابط المنفذة (فجوة G-01 سابقاً)</t>
  </si>
  <si>
    <t>سلامة (I)</t>
  </si>
  <si>
    <t>مدير إدارة الالتزام والحوكمة</t>
  </si>
  <si>
    <t>متابعة من إدارة الالتزام، وتعيين مسؤول اتصال مع ساما، وتقارير امتثال دورية</t>
  </si>
  <si>
    <t>البنك ملتزم تاريخياً بمتطلبات ساما، وأُنشئ الآن سجل موحد للمتطلبات ضمن ISMS؛ يبقى احتمال تأخر الإبلاغ عن حادث كبير قائماً.</t>
  </si>
  <si>
    <t>عقوبات مالية مشددة من ساما قد تتضمن إيقاف نشاط أو غرامات تتجاوز 25 مليون ريال وأثر سمعة حاد على بنك رقمي.</t>
  </si>
  <si>
    <t>1) إنشاء سجل موحد للمتطلبات القانونية والتنظيمية والتعاقدية مع مراجعة نصف سنوية. 2) إجراء إلزامي للإبلاغ عن الحوادث لساما خلال المدة النظامية مع قائمة اتصال جاهزة. 3) مصفوفة ربط متطلبات ساما بضوابط ISO 27001 والملحق A. 4) تدريب فريق الاستجابة على متطلبات الإبلاغ.</t>
  </si>
  <si>
    <t>A.5.31، A.5.5، A.5.36، A.5.24</t>
  </si>
  <si>
    <t>السجل الموحد والإجراء المعتمد وقائمة الاتصال تجعل التأخر في الإبلاغ نادر الحدوث جداً.</t>
  </si>
  <si>
    <t>يبقى أثر أي ملاحظة رقابية جوهرية كبيراً لطبيعة القطاع المصرفي.</t>
  </si>
  <si>
    <t>مرتبط بمتطلبات ساما في القسم 5.2 من دراسة الحالة وبالضابط A.5.36.</t>
  </si>
  <si>
    <t>R-019</t>
  </si>
  <si>
    <t>قواعد بيانات العملاء والبيانات البيومترية وسجلات التواصل وبيانات الموظفين</t>
  </si>
  <si>
    <t>خرق لنظام حماية البيانات الشخصية نتيجة معالجة أو نقل أو حفظ غير نظامي للبيانات الشخصية أو عدم الاستجابة لطلبات أصحاب البيانات</t>
  </si>
  <si>
    <t>عدم وجود آلية مؤتمتة لاستقبال ومعالجة طلبات أصحاب البيانات (الوصول، التصحيح، الحذف)، وتعدد أماكن تخزين البيانات الشخصية دون سجل معالجة موحد</t>
  </si>
  <si>
    <t>مدير إدارة الشؤون القانونية</t>
  </si>
  <si>
    <t>سياسة خصوصية معلنة، ونموذج طلب يدوي لدى خدمة العملاء، واتفاقيات معالجة مع الموردين</t>
  </si>
  <si>
    <t>حجم البيانات الشخصية ضخم (500,000 عميل + 2,500 موظف + متقاعدون)، والآلية الحالية يدوية وبطيئة مما يرفع خطر تجاوز المدد النظامية.</t>
  </si>
  <si>
    <t>غرامات مشددة من سدايا وأوامر بإيقاف معالجة، وخسائر تتجاوز 25 مليون ريال، وأزمة ثقة لدى العملاء.</t>
  </si>
  <si>
    <t>1) إنشاء سجل أنشطة المعالجة (RoPA) لجميع مجموعات البيانات الشخصية. 2) أتمتة قناة استقبال طلبات أصحاب البيانات والرد ضمن 30 يوماً. 3) تعيين مسؤول حماية البيانات الشخصية (DPO) وتحديد مسؤولياته. 4) مراجعة عقود الموردين لتتضمن بنود حماية البيانات الشخصية.</t>
  </si>
  <si>
    <t>A.5.34، A.5.31، A.5.33، A.5.20</t>
  </si>
  <si>
    <t>سجل المعالجة والأتمتة وتعيين مسؤول حماية البيانات تخفض الاحتمالية إلى مستوى نادر.</t>
  </si>
  <si>
    <t>يبقى الأثر كبيراً نظراً لحجم البيانات الشخصية وحساسية القطاع.</t>
  </si>
  <si>
    <t>مرتبط بالحادثة INC-2025-011 وبمتطلبات سدايا؛ يُقاس بمؤشر: نسبة الرد على الطلبات ضمن المدة النظامية.</t>
  </si>
  <si>
    <t>R-020</t>
  </si>
  <si>
    <t>أجهزة الصراف الآلي (150 جهازاً) وأجهزة الإيداع ونظام إدارة البطاقات</t>
  </si>
  <si>
    <t>عبث مادي أو برمجي بأجهزة الصراف الآلي (تثبيت أجهزة نسخ بطاقات Skimming أو برمجيات خبيثة) لسرقة بيانات البطاقات والأرقام السرية</t>
  </si>
  <si>
    <t>انتشار الأجهزة في 75 موقعاً مستقلاً غير خاضع لحراسة دائمة، وصيانتها عبر مورد خارجي دون إشراف مستمر، وتحديثات برمجية غير منتظمة</t>
  </si>
  <si>
    <t>مدير إدارة العمليات المصرفية</t>
  </si>
  <si>
    <t>أقفال مادية وكاميرات مراقبة في الفروع، وتفتيش دوري من فرق الفروع، ومكافحة برمجيات خبيثة على الأجهزة، ونظام كشف الاحتيال</t>
  </si>
  <si>
    <t>توجد ضوابط مادية ومراقبة احتيالية، ولم تُسجل حوادث skimming جوهرية؛ يبقى احتمال الاستهداف قائماً في المواقع المستقلة.</t>
  </si>
  <si>
    <t>سرقة بيانات بطاقات يترتب عليه التزامات PCI DSS وتعويضات عملاء بخسائر 5 إلى 25 مليون ريال وأثر سمعة كبير.</t>
  </si>
  <si>
    <t>1) تفتيش مادي أسبوعي موثق لجميع الأجهزة المستقلة مع قائمة تحقق مضادة للعبث. 2) إلزام مورد الصيانة بمرافقة موظف من البنك عند أي تدخل وتسجيله. 3) تفعيل تحديثات برمجية شهرية للأجهزة ومراقبة سلامة النظام. 4) تشفير بيانات البطاقات من الطرف للطرف (E2EE) وتقنية EMV.</t>
  </si>
  <si>
    <t>A.7.4، A.7.8، A.7.9، A.5.20، A.8.24</t>
  </si>
  <si>
    <t>التفتيش الأسبوعي الموثق والمرافقة الإلزامية تجعل نجاح العبث نادر الحدوث جداً.</t>
  </si>
  <si>
    <t>يبقى أثر أي نجاح في نسخ بيانات البطاقات كبيراً لالتزامات المعايير الدولية.</t>
  </si>
  <si>
    <t>مرتبط بمتطلبات PCI DSS التعاقدية وبمخاطر الموردين R-013.</t>
  </si>
  <si>
    <t>R-021</t>
  </si>
  <si>
    <t>روابط الاتصال وخدمات الاتصالات وأجهزة الشبكة</t>
  </si>
  <si>
    <t>انقطاع خدمات الاتصالات أو الإنترنت من المزود الرئيسي (STC) بما يعطل الفروع والقنوات الرقمية والاتصال بشبكة المدفوعات</t>
  </si>
  <si>
    <t>الاعتماد على مزود رئيسي واحد للإنترنت في معظم المواقع، وعدم اختبار خطوط الاتصال الاحتياطية دورياً</t>
  </si>
  <si>
    <t>روابط مزدوجة بين مركز البيانات ومركز التعافي، وخطوط مؤمنة مع شبكة المدفوعات وساما، ومودمات احتياطية</t>
  </si>
  <si>
    <t>توجد روابط مزدوجة ومودمات احتياطية؛ انقطاعات المزود السابقة كانت محدودة وقصيرة ولم تُسجل حالة انقطاع شامل.</t>
  </si>
  <si>
    <t>تعطل الفروع والقنوات الرقمية والاتصال بشبكة المدفوعات لخسائر 5 إلى 25 مليون ريال وأثر مباشر على العملاء.</t>
  </si>
  <si>
    <t>1) إضافة مزود إنترنت ثانٍ للمقر الرئيسي والفروع عالية الحركة. 2) اختبار تحويل الاتصال الاحتياطي ربع سنوي موثق. 3) بنود مستوى خدمة (SLA) مع STC تتضمن تعويضات وأولوية استعادة. 4) خطة اتصال بديلة عبر الأقمار الصناعية لمركز التعافي.</t>
  </si>
  <si>
    <t>A.5.22، A.8.14، A.8.6، A.5.20</t>
  </si>
  <si>
    <t>2027-02-28</t>
  </si>
  <si>
    <t>لم يبدأ</t>
  </si>
  <si>
    <t>تعدد المزودين واختبار التحويل يجعل الانقطاع الشامل نادر الحدوث جداً.</t>
  </si>
  <si>
    <t>يبقى الأثر كبيراً في حال تزامن فشل أكثر من رابط.</t>
  </si>
  <si>
    <t>مرتبط بسيناريو BCP-04 (انقطاع الشبكة) ومتابعة أداء الموردين الشهرية.</t>
  </si>
  <si>
    <t>R-022</t>
  </si>
  <si>
    <t>نظام إدارة البطاقات وبيانات اعتماد العملاء ونظام كشف الاحتيال</t>
  </si>
  <si>
    <t>احتيال مالي على حسابات العملاء أو سرقة بيانات البطاقات عبر انتحال الهوية أو استغلال ثغرات في قنوات الدفع</t>
  </si>
  <si>
    <t>قواعد كشف الاحتيال غير محدثة بما يكفي للحالات الجديدة، وعدم وجود مصادقة قوية على جميع عمليات الدفع عالية القيمة</t>
  </si>
  <si>
    <t>نظام كشف الاحتيال في الوقت الفعلي، وحدود تحويل يومية، ومصادقة متعددة العوامل لعمليات محددة، ومراقبة فريق الاحتيال</t>
  </si>
  <si>
    <t>أوقف نظام كشف الاحتيال محاولة بقيمة 150,000 ريال سابقاً، لكن أساليب الاحتيال تتطور بسرعة والبنك رقمي بالكامل.</t>
  </si>
  <si>
    <t>خسائر مباشرة وتعويضات عملاء وغرامات من 5 إلى 25 مليون ريال، وأثر سمعة كبير على بنك يعتمد على الثقة الرقمية.</t>
  </si>
  <si>
    <t>1) تحديث قواعد كشف الاحتيال شهرياً وفق أنماط الاحتيال المستجدة. 2) إلزام المصادقة القوية (SCA) على جميع عمليات الدفع. 3) ربط تنبيهات الاحتيال بـSOC ضمن متابعة موحدة. 4) تحليل دوري لبيانات الاحتيال مع البنوك المراسلة.</t>
  </si>
  <si>
    <t>A.5.24، A.8.5، A.8.16، A.5.31</t>
  </si>
  <si>
    <t>المصادقة القوية وتحديث القواعد الدوري يخفضان نجاح الاحتيال إلى مستوى نادر.</t>
  </si>
  <si>
    <t>يبقى أثر حالات الاحتيال الفردية متوسطاً لتعويض العملاء والأثر السمعة.</t>
  </si>
  <si>
    <t>مرتبط بالحادثة INC-2025-003 وبمتطلبات مكافحة غسل الأموال.</t>
  </si>
  <si>
    <t>R-023</t>
  </si>
  <si>
    <t>الكود المصدري لتطبيقات البنك ونظام GitLab Enterprise وجدار الحماية</t>
  </si>
  <si>
    <t>تسريب الكود المصدري لتطبيقات البنك عبر وصول غير مصرح به إلى مستودع GitLab أو تسريب من مطور داخلي أو خارجي</t>
  </si>
  <si>
    <t>عدم تفعيل المصادقة متعددة العوامل على جميع حسابات GitLab، وغياب مراقبة تنزيل الكود بكميات كبيرة، وصلاحيات مطورين واسعة</t>
  </si>
  <si>
    <t>صلاحيات مخصصة لكل مطور في GitLab، واتفاقيات سرية، ومراجعة كود داخلية، وجدار حماية يحمي الوصول للمستودع</t>
  </si>
  <si>
    <t>المستودع داخلي غير مكشوف للإنترنت، وعدد من يملك صلاحية التنزيل الكامل محدود؛ لا توجد سوابق تسريب.</t>
  </si>
  <si>
    <t>كشف الكود يسهّل هجمات موجهة على القنوات الرقمية ويعرّض بيانات العملاء للخطر بخسائر 5 إلى 25 مليون ريال.</t>
  </si>
  <si>
    <t>1) تفعيل MFA إلزامياً على جميع حسابات GitLab. 2) مراقبة وتنبيه عند تنزيل أو استنساخ كميات كبيرة من الكود. 3) مراجعة ربع سنوية لصلاحيات المستودع وسحب صلاحيات المطورين الخارجيين غير النشطين. 4) تشفير النسخ الاحتياطية للمستودع.</t>
  </si>
  <si>
    <t>A.8.4، A.5.17، A.8.15، A.5.18</t>
  </si>
  <si>
    <t>MFA والمراقبة وسحب الصلاحيات تجعل التسريب نادر الحدوث جداً.</t>
  </si>
  <si>
    <t>يبقى الأثر كبيراً لطبيعة المحتوى المسرّب إن وقع.</t>
  </si>
  <si>
    <t>مرتبط بمخاطر الموردين R-013 والضابط A.8.4 (الوصول إلى الكود المصدري).</t>
  </si>
  <si>
    <t>R-024</t>
  </si>
  <si>
    <t>سجلات الأمان والأحداث وأنظمة IDS/IPS وحل مكافحة البرمجيات الخبيثة</t>
  </si>
  <si>
    <t>تأخر اكتشاف الحوادث الأمنية بسبب التحليل اليدوي للسجلات في غياب نظام SIEM، مما يطيل زمن الاحتواء ويزيد الأثر</t>
  </si>
  <si>
    <t>عدم وجود SIEM ولا ربط آلي للتنبيهات (فجوة G-05)، واعتماد SOC على مراجعة يدوية لسجلات Syslog، وغياب حالات استخدام (Use Cases) موحدة</t>
  </si>
  <si>
    <t>خادم Syslog مركزي لجمع السجلات، و8 محللين في SOC بنظام المناوبات، وتنبيهات من IDS/IPS ومكافحة الفيروسات</t>
  </si>
  <si>
    <t>التحليل يدوي بالكامل حالياً وحجم السجلات كبير؛ اكتشاف حادثة INC-2024-001 استغرق 45 دقيقة وحادثة التصيد ساعتين.</t>
  </si>
  <si>
    <t>طول زمن الاحتواء يضاعف أثر أي اختراق إلى خسائر 5 إلى 25 مليون ريال، مع ملاحظات رقابية بشأن قدرات المراقبة.</t>
  </si>
  <si>
    <t>1) توريد وتشغيل SIEM مع ربط جميع المصادر الحرجة. 2) بناء 25 حالة استخدام للكشف ذات أولوية مصرفية. 3) أتمتة التنبيهات وربطها بنظام التذاكر (Jira). 4) اعتماد مؤشرات زمن الاكتشاف (MTTD) وزمن الاستجابة (MTTR) ومتابعتها شهرياً.</t>
  </si>
  <si>
    <t>A.8.15، A.8.16، A.5.25، A.5.26، A.8.17</t>
  </si>
  <si>
    <t>2027-03-31</t>
  </si>
  <si>
    <t>SIEM والتنبيهات المؤتمتة تخفض احتمال التأخر في الاكتشاف إلى مستوى نادر.</t>
  </si>
  <si>
    <t>يبقى أثر بعض الحوادث المتطورة متوسطاً حتى مع المراقبة الآلية.</t>
  </si>
  <si>
    <t>فجوة جوهرية (G-05)؛ المشروع الأكبر في ميزانية 2026 ومرتبطة بحالة عدم المطابقة NC-01 في التدقيق الداخلي.</t>
  </si>
  <si>
    <t>R-025</t>
  </si>
  <si>
    <t>البيانات البيومترية للعملاء (بصمات الأصابع) وقاعدة بيانات العملاء</t>
  </si>
  <si>
    <t>تسريب أو كشف البيانات البيومترية للعملاء، وهي بيانات غير قابلة للاستبدال وتثير التزامات نظامية مشددة</t>
  </si>
  <si>
    <t>تخزين البيانات البيومترية ضمن بيئة قواعد البيانات العامة دون عزل كافٍ، وغياب تقييم أثر حماية البيانات (DPIA) لهذه المعالجة</t>
  </si>
  <si>
    <t>تشفير وحدة التخزين المخصصة، وصلاحيات مقيدة على الجدول البيومتري، ومصادقة قوية للوصول الإداري</t>
  </si>
  <si>
    <t>الوحدة معزولة ومشفرة وعدد من يملك الوصول إليها محدود جداً؛ لا توجد سوابق انكشاف.</t>
  </si>
  <si>
    <t>تسريب بيانات بيومترية غير قابلة للاستبدال يترتب عليه غرامات مشددة من سدايا ودعاوى جماعية وخسائر تتجاوز 25 مليون ريال.</t>
  </si>
  <si>
    <t>1) إجراء تقييم أثر حماية البيانات (DPIA) لمعالجة البيانات البيومترية. 2) عزل قاعدة البيانات البيومترية في خادم مخصص مع تشفير على مستوى العمود. 3) تحويل البصمات إلى قوالب (Templates) غير قابلة للعكس وعدم تخزين الصور الأصلية. 4) مراجعة سنوية لصلاحيات الوصول.</t>
  </si>
  <si>
    <t>A.5.34، A.8.24، A.8.3، A.5.33</t>
  </si>
  <si>
    <t>العزل والتشفير على مستوى العمود وتحويل القوالب يجعل التسريب نادر الحدوث جداً.</t>
  </si>
  <si>
    <t>يبقى الأثر كبيراً لحساسية البيانات البيومترية وطبيعتها غير القابلة للاستبدال.</t>
  </si>
  <si>
    <t>مرتبط بنظام حماية البيانات الشخصية ومتطلبات سدايا.</t>
  </si>
  <si>
    <t>R-026</t>
  </si>
  <si>
    <t>أنظمة الطاقة (UPS والمولدات) والتكييف الدقيق في مراكز البيانات</t>
  </si>
  <si>
    <t>فشل أنظمة الطاقة أو التكييف في مركز البيانات الرئيسي يؤدي إلى إيقاف الخوادم أو تلف المعدات</t>
  </si>
  <si>
    <t>صيانة وقائية ربع سنوية فقط للمولدات وUPS دون اختبار حِمل فعلي، وارتفاع درجات الحرارة الموسمية في الرياض</t>
  </si>
  <si>
    <t>أنظمة UPS في جميع المواقع الحرجة، ومولدات احتياطية، وتكييف دقيق مزدوج، وأنظمة إنذار ومراقبة بيئية</t>
  </si>
  <si>
    <t>توجد أنظمة redundant ولم تُسجل حالات فشل مطوّلة؛ يبقى احتمال فشل متزامن قائماً مع الحرارة العالية وقدم بعض المعدات.</t>
  </si>
  <si>
    <t>إيقاف مفاجئ للخوادم قد يسبب فقدان بيانات وتوقف خدمات بخسائر 5 إلى 25 مليون ريال.</t>
  </si>
  <si>
    <t>النقل</t>
  </si>
  <si>
    <t>نقل مسؤولية التشغيل والصيانة إلى طرف ثالث متخصص بعقد مُلزِم، وذلك عبر: 1) التعاقد مع مقاول متخصص لتشغيل وصيانة أنظمة الطاقة والتكييف بعقد مستوى خدمة (SLA) يتضمن غرامات تأخير واستجابة خلال 4 ساعات، مع الإبقاء على الصيانة الوقائية الشهرية واختبار حِمل فعلي للمولدات كل 3 أشهر. 2) مراقبة بيئية لحظية (حرارة ورطوبة) مع تنبيه آلي لـSOC. 3) استبدال بطاريات UPS وفق دورة حياة معتمدة. 4) خطة إيقاف منظّم (Graceful Shutdown) للأنظمة غير الحرجة.</t>
  </si>
  <si>
    <t>A.7.11، A.7.5، A.7.13، A.8.14</t>
  </si>
  <si>
    <t>الصيانة الشهرية واختبارات الحِمل والمراقبة اللحظية تجعل الفشل غير المعالج نادر الحدوث جداً.</t>
  </si>
  <si>
    <t>يبقى أثر الفشل المفاجئ كبيراً لاعتماد جميع الأنظمة على المرافق.</t>
  </si>
  <si>
    <t>مرتبط بسيناريو BCP-07 وأصول A-045.</t>
  </si>
  <si>
    <t>R-027</t>
  </si>
  <si>
    <t>الأجهزة اللوحية والهواتف الذكية المؤسسية (200 جهاز للمدراء والموظفين المتنقلين)</t>
  </si>
  <si>
    <t>فقدان أو اختراق الأجهزة الذكية المؤسسية للمدراء وما تحتويه من بريد ومراسلات ووثائق حساسة</t>
  </si>
  <si>
    <t>عدم تطبيق إدارة الأجهزة المحمولة (MDM) على جميع الأجهزة الذكية، واستخدام بعض المدراء لتطبيقات مراسلة غير مؤسسية لأغراض العمل</t>
  </si>
  <si>
    <t>كلمات مرور للأجهزة، وMFA للبريد على الأجهزة المسجلة، وسياسة استخدام مقبول معتمدة</t>
  </si>
  <si>
    <t>الأجهزة متنقلة وتُستخدم خارج المملكة أحياناً، و200 جهاز موزع على المدراء الأكثر اطلاعاً على معلومات حساسة.</t>
  </si>
  <si>
    <t>انكشاف مراسلات ووثائق إدارية حساسة بخسائر 1 إلى 5 ملايين ريال وأثر على سرية قرارات الإدارة العليا.</t>
  </si>
  <si>
    <t>1) إلزام تسجيل جميع الأجهزة الذكية في MDM مع تشفير ومسح عن بُعد. 2) حاوية مؤسسية معزولة لتطبيقات العمل (Containerization). 3) حظر تطبيقات المراسلة غير المعتمدة للبيانات الحساسة. 4) توعية مخصصة للمدراء والتنفيذيين.</t>
  </si>
  <si>
    <t>A.8.1، A.6.7، A.5.10، A.7.9</t>
  </si>
  <si>
    <t>MDM والتشفير والمسح عن بُعد تخفض الاحتمالية إلى مستوى نادر.</t>
  </si>
  <si>
    <t>يتحول الأثر إلى فقد جهاز واحد يمكن مسحه عن بُعد دون انكشاف بيانات.</t>
  </si>
  <si>
    <t>مرتبط بسياسة الاستخدام المقبول (A05-10-1) وضابط العمل عن بُعد A.6.7.</t>
  </si>
  <si>
    <t>R-028</t>
  </si>
  <si>
    <t>الموردون التقنيون ومنتجاتهم (مكافحة الفيروسات، منصة الثغرات، أجهزة الشبكة)</t>
  </si>
  <si>
    <t>هجوم عبر سلسلة التوريد: تحديث أو منتج ملوّث من مورد تقني يؤدي إلى اختراق بيئة البنك</t>
  </si>
  <si>
    <t>عدم فحص سلامة التحديثات الواردة من الموردين، وغياب تقييم أمني دوري لمعظم الموردين التقنيين، واتساع صلاحيات الوصول عن بُعد لبعضهم</t>
  </si>
  <si>
    <t>اتفاقيات سرية وعقود مع الموردين، وتحديثات عبر قنوات رسمية، ووصول عن بُعد مقيد لبعض الموردين</t>
  </si>
  <si>
    <t>لم تُسجل حوادث سلسلة توريد في البنك؛ لكن تزايد هذه الهجمات عالمياً ووجود وصول عن بُعد لعدة موردين يُبقي الاحتمال قائماً.</t>
  </si>
  <si>
    <t>اختراق عبر مورد موثوق يتجاوز ضوابط الحدود بخسائر 5 إلى 25 مليون ريال ويصعب اكتشافه مبكراً.</t>
  </si>
  <si>
    <t>1) تقييم أمني سنوي لجميع الموردين الحرجين وفق مصفوفة تصنيف الموردين. 2) بنود تعاقدية تلزم المورد بالإبلاغ عن أي حادث خلال 24 ساعة وحق التدقيق. 3) عزل شبكة إدارة الموردين (Vendor VLAN) وتسجيل جميع الجلسات. 4) فحص سلامة التحديثات والتحقق من التوقيعات الرقمية قبل التوزيع.</t>
  </si>
  <si>
    <t>A.5.19، A.5.20، A.5.21، A.5.22، A.8.22</t>
  </si>
  <si>
    <t>التقييم السنوي والبنود التعاقدية وعزل شبكة الموردين تجعل الاختراق عبر مورد نادر الحدوث جداً.</t>
  </si>
  <si>
    <t>يبقى الأثر كبيراً في حال تحققه لاتساع الثقة الممنوحة للموردين.</t>
  </si>
  <si>
    <t>مرتبط بـR-013 وR-021 والضوابط A.5.19 حتى A.5.22.</t>
  </si>
  <si>
    <t>R-029</t>
  </si>
  <si>
    <t>بيئات التطوير والاختبار والإنتاج ونظام GitLab</t>
  </si>
  <si>
    <t>انتقال تغيير غير مختبر أو خاطئ من بيئة التطوير إلى بيئة الإنتاج يعطل الخدمات المصرفية الرقمية</t>
  </si>
  <si>
    <t>عدم كفاية فصل بيئات التطوير والاختبار والإنتاج (فجوة G-04)، ونقص أتمتة الاختبارات الأمنية قبل النشر</t>
  </si>
  <si>
    <t>خوادم افتراضية منفصلة للبيئات الثلاث، وإجراء نشر موثق، واختبار قبول يدوي قبل الإصدار</t>
  </si>
  <si>
    <t>الفصل منطقي أكثر منه شبكي، و25 مطوراً ينشرون تحديثات متكررة لتطبيق آفاق بلس دون بوابة اختبار أمني آلية.</t>
  </si>
  <si>
    <t>تعطل جزئي للخدمات الرقمية وتأخر الإصدارات بخسائر 1 إلى 5 ملايين ريال وشكاوى عملاء.</t>
  </si>
  <si>
    <t>1) فصل شبكي كامل بين البيئات الثلاث مع قواعد جدار حماية صارمة. 2) أتمتة خط النشر (CI/CD) مع بوابة اختبار أمني إلزامية. 3) منع أي نشر إنتاجي دون موافقة change advisory board. 4) بيئة Staging مطابقة للإنتاج لاختبار القبول.</t>
  </si>
  <si>
    <t>A.8.31، A.8.32، A.8.29، A.8.25</t>
  </si>
  <si>
    <t>الفصل الشبكي وأتمتة الاختبارات وبوابة الموافقة تخفض الاحتمالية إلى مستوى نادر.</t>
  </si>
  <si>
    <t>يبقى أثر أي عيب يصل للإنتاج متوسطاً لحين التراجع عن التغيير.</t>
  </si>
  <si>
    <t>مرتبط بـR-015 وR-009 وإجراء إدارة التغيير.</t>
  </si>
  <si>
    <t>R-030</t>
  </si>
  <si>
    <t>الأصول البشرية</t>
  </si>
  <si>
    <t>الكوادر البشرية وفرق أمن المعلومات وتقنية المعلومات</t>
  </si>
  <si>
    <t>فقدان المعرفة المؤسسية أو نقص الكوادر الأمنية المتخصصة نتيجة دوران الموظفين (12% سنوياً في تقنية المعلومات) أو غياب موظف رئيسي</t>
  </si>
  <si>
    <t>اعتماد بعض العمليات على أفراد محددين دون توثيق كافٍ، وعدم وجود خطط تعاقب وظيفي للأدوار الأمنية الحرجة</t>
  </si>
  <si>
    <t>توثيق جزئي للإجراءات، وفرق متعددة في SOC بنظام المناوبات، واتفاقيات سرية، وبرامج تدريب</t>
  </si>
  <si>
    <t>معدل الدوران 12% سنوياً في تقنية المعلومات، وبعض الأدوار الحرجة (مثل إدارة قواعد البيانات الرئيسية) يشغلها عدد محدود من الأشخاص.</t>
  </si>
  <si>
    <t>تأخر تنفيذ الضوابط والمشاريع الأمنية وضعف جودة التشغيل بخسائر 1 إلى 5 ملايين ريال وأثر على أهداف ISMS.</t>
  </si>
  <si>
    <t>1) توثيق جميع إجراءات التشغيل الحرجة ضمن SOP وإتاحتها في مكتبة ISMS. 2) خطة تعاقب وظيفي للأدوار الأمنية الحرجة وتحديد بديل لكل دور. 3) برنامج تدريب وشهادات مهنية (ISO 27001 Lead Implementer، CISSP) للموظفين. 4) مراجعة سنوية لحمل العمل وتوزيع المهام.</t>
  </si>
  <si>
    <t>A.5.4، A.6.3، A.5.2، A.5.37</t>
  </si>
  <si>
    <t>التوثيق وخطط التعاقب والتدريب تجعل أثر فقدان فرد محدوداً ونادر التحول إلى أزمة.</t>
  </si>
  <si>
    <t>يبقى أثر فقد خبير في نظام حرج متوسطاً حتى استكمال نقل المعرفة.</t>
  </si>
  <si>
    <t>مرتبط بضوابط الموارد البشرية A.6.x وبأهداف ISMS الخاصة بالتدريب والتوعية.</t>
  </si>
  <si>
    <t>R-031</t>
  </si>
  <si>
    <t>وسائط النسخ الاحتياطي (الأشرطة) أثناء النقل إلى الموقع الخارجي في جدة</t>
  </si>
  <si>
    <t>تلف أو فقدان وسائط النسخ الاحتياطي أثناء نقلها من مركز البيانات الرئيسي إلى الموقع الخارجي</t>
  </si>
  <si>
    <t>نقل الأشرطة أسبوعياً عبر مورد خدمات دون تتبع آلي للشحنات أو صناديق مقاومة للحريق والماء</t>
  </si>
  <si>
    <t>صناديق نقل مؤمنة، وتوثيق يدوي لحركة الأشرطة، وعقد مع شركة خدمات النقل، وتشفير محتوى النسخ</t>
  </si>
  <si>
    <t>لم تُسجل أي حالة تلف أو فقدان سابقة، والنقل يتم ضمن مسار داخلي (الرياض - جدة) بإجراءات موثقة وتشفير للمحتوى.</t>
  </si>
  <si>
    <t>فقدان مجموعة نسخ تاريخية يؤثر على قدرة الاستعادة لنقطة زمنية محددة بخسائر 5 إلى 25 مليون ريال في أسوأ الحالات.</t>
  </si>
  <si>
    <t>القبول</t>
  </si>
  <si>
    <t>قبول الخطر ضمن حدود شهية المخاطر المعتمدة (درجة 4 = منخفض) دون استثمار إضافي، مع الإبقاء على الضوابط القائمة: تشفير محتوى النسخ الاحتياطية، وصناديق نقل مؤمنة وموثقة الحركة، وعقد نقل مع شركة خدمات معتمدة، وجدول نسخ يومي. ويُنفَّذ إجراء رقابي واحد منخفض التكلفة هو التحقق من قابلية قراءة عينة من الأشرطة شهرياً.</t>
  </si>
  <si>
    <t>A.7.10، A.7.14، A.8.13، A.5.14</t>
  </si>
  <si>
    <t>2027-04-30</t>
  </si>
  <si>
    <t>لا تغيير في الاحتمالية لعدم تنفيذ معالجة إضافية (خيار القبول)، مع بقاء التحقق الشهري من قراءة الأشرطة.</t>
  </si>
  <si>
    <t>لا تغيير في الأثر؛ يبقى أثر فقد مجموعة نسخ تاريخية كبيراً وإن كانت احتماليته نادرة جداً.</t>
  </si>
  <si>
    <t>خطر منخفض (4) مقبول من مالك الخطر ومصدق من لجنة المخاطر بتاريخ 2026-04-12؛ يُراجع القبول سنوياً ضمن مراجعة الإدارة.</t>
  </si>
  <si>
    <t>R-032</t>
  </si>
  <si>
    <t>الأنظمة غير الحرجة المستضافة على AWS وبيانات مستودع البيانات التحليلية</t>
  </si>
  <si>
    <t>انقطاع أو تدهور أداء الأنظمة غير الحرجة المستضافة سحابياً بما يعطل التقارير التحليلية وبيئات التطوير</t>
  </si>
  <si>
    <t>اعتماد بعض التقارير التشغيلية على موارد سحابية دون خطة تشغيل بديلة موثقة</t>
  </si>
  <si>
    <t>اتفاقية مستوى خدمة مع AWS، ونسخ احتياطي لبعض الموارد، ومراقبة توفر يدوية</t>
  </si>
  <si>
    <t>AWS توفر مستويات توفر عالية، والأنظمة المستضافة غير حرجة ولا تؤثر مباشرة على الخدمات المصرفية.</t>
  </si>
  <si>
    <t>تأخر تقارير إدارية وبيئات تطوير لمدة محدودة بخسائر أقل من مليون ريال وأثر تشغيلي طفيف.</t>
  </si>
  <si>
    <t>قبول الخطر ضمن حدود شهية المخاطر المعتمدة مع: 1) مراقبة توفر الموارد شهرياً. 2) توثيق إجراء تشغيل يدوي بديل للتقارير الحرجة. 3) مراجعة قبول الخطر سنوياً من مالك الخطر.</t>
  </si>
  <si>
    <t>A.5.23، A.8.6، A.5.9</t>
  </si>
  <si>
    <t>لا تغيير في الاحتمالية لعدم تنفيذ معالجة تقنية إضافية (خيار القبول).</t>
  </si>
  <si>
    <t>الأثر محدود جداً لطبيعة الأنظمة غير الحرجة ووجود إجراء تشغيل بديل.</t>
  </si>
  <si>
    <t>مثال على خيار القبول الموثق ضمن حدود الشهية؛ يُراجع سنوياً في مراجعة الإدارة.</t>
  </si>
  <si>
    <t>لوحة مؤشرات أداة تقييم ومعالجة المخاطر القائمة على الأصول - ISO/IEC 27001:2022 - بنك الآفاق الرقمية</t>
  </si>
  <si>
    <t>لتحديث بيانات الرسوم البيانية، انقر على «تحديث الكل» (Refresh All) من علامة التبويب «البيانات».</t>
  </si>
  <si>
    <t>التقييم قبل المعالجة</t>
  </si>
  <si>
    <t>التقييم بعد المعالجة</t>
  </si>
  <si>
    <t>تصنيف مستوى الخطر</t>
  </si>
  <si>
    <t>مخطط توزيع المخاطر</t>
  </si>
  <si>
    <t>يوضح الجدول أدناه مقياس التصنيف المعتمد لتحديد مستوى الخطر بناءً على حاصل ضرب الاحتمالية في التأثير: من 1 إلى 4 = منخفض، ومن 5 إلى 10 = متوسط، ومن 11 إلى 15 = مرتفع، ومن 16 إلى 25 = حرج.</t>
  </si>
  <si>
    <t>يوضح الرسمان أدناه توزيع درجات خطورة المخاطر قبل المعالجة وبعدها.</t>
  </si>
  <si>
    <t>الاحتمالية: ما فرص وقوع الحدث الخطر؟</t>
  </si>
  <si>
    <t>التأثير: ما حجم العواقب إذا وقع الحدث الخطر؟</t>
  </si>
  <si>
    <t>قبل المعالجة</t>
  </si>
  <si>
    <t>بعد المعالجة</t>
  </si>
  <si>
    <t>محدود جداً
1</t>
  </si>
  <si>
    <t>منخفض
2</t>
  </si>
  <si>
    <t>متوسط
3</t>
  </si>
  <si>
    <t>كبير
4</t>
  </si>
  <si>
    <t>حرج
5</t>
  </si>
  <si>
    <t>احتمالية الخطر</t>
  </si>
  <si>
    <t>شبه مؤكد
5</t>
  </si>
  <si>
    <t>متوسط
5</t>
  </si>
  <si>
    <t>متوسط
10</t>
  </si>
  <si>
    <t>مرتفع
15</t>
  </si>
  <si>
    <t>حرج
20</t>
  </si>
  <si>
    <t>حرج
25</t>
  </si>
  <si>
    <t>مرجح
4</t>
  </si>
  <si>
    <t>منخفض
4</t>
  </si>
  <si>
    <t>متوسط
8</t>
  </si>
  <si>
    <t>مرتفع
12</t>
  </si>
  <si>
    <t>حرج
16</t>
  </si>
  <si>
    <t>محتمل
3</t>
  </si>
  <si>
    <t>منخفض
3</t>
  </si>
  <si>
    <t>متوسط
6</t>
  </si>
  <si>
    <t>متوسط
9</t>
  </si>
  <si>
    <t>نادر
2</t>
  </si>
  <si>
    <t>نادر جداً
1</t>
  </si>
  <si>
    <t>منخفض
1</t>
  </si>
  <si>
    <t>تأثير الخطر</t>
  </si>
  <si>
    <t>خطة المعالجة</t>
  </si>
  <si>
    <t>عدد المخاطر قبل المعالجة حسب مستوى الخطر</t>
  </si>
  <si>
    <t>مستوى الخطر</t>
  </si>
  <si>
    <t>منخفض</t>
  </si>
  <si>
    <t>متوسط</t>
  </si>
  <si>
    <t>مرتفع</t>
  </si>
  <si>
    <t>حرج</t>
  </si>
  <si>
    <t>الإجمالي العام</t>
  </si>
  <si>
    <t>المخاطر قبل المعالجة حسب مستوى الخطر ومالك الخطر</t>
  </si>
  <si>
    <t>المخاطر قبل المعالجة حسب مالك الخطر (جدول مساعد لتغذية الرسم البياني في لوحة المؤشرات)</t>
  </si>
  <si>
    <t>مالك الخطر</t>
  </si>
  <si>
    <t>عدد المخاطر</t>
  </si>
  <si>
    <t>عدد المخاطر بعد المعالجة حسب مستوى الخطر</t>
  </si>
  <si>
    <t>عدد المخاطر حسب مستوى الخطر قبل المعالجة وبعدها</t>
  </si>
  <si>
    <t>المخاطر حسب خيار المعالجة المختار</t>
  </si>
  <si>
    <t>مجموع تكلفة المعالجة حسب مستوى الخطر</t>
  </si>
  <si>
    <t>المخاطر حسب مسؤول إجراء المعالجة</t>
  </si>
  <si>
    <t>ضوابط الملحق A المرجعية - ISO/IEC 27001:2022</t>
  </si>
  <si>
    <t>تُستخدم هذه القائمة مرجعاً لربط كل خطر في سجل المخاطر بالضابط أو الضوابط المقابلة من الملحق A، وهي القائمة نفسها المعتمدة في بيان قابلية التطبيق (ISMS-FORM-06-2).</t>
  </si>
  <si>
    <t>الضوابط التنظيمية (A.5 Organizational controls)</t>
  </si>
  <si>
    <t>A.5.1 سياسات أمن المعلومات</t>
  </si>
  <si>
    <t>A.5.2 أدوار ومسؤوليات أمن المعلومات</t>
  </si>
  <si>
    <t>A.5.3 فصل المهام</t>
  </si>
  <si>
    <t>A.5.4 مسؤوليات الإدارة</t>
  </si>
  <si>
    <t>A.5.5 التواصل مع السلطات</t>
  </si>
  <si>
    <t>A.5.6 التواصل مع مجموعات الاهتمام الخاص</t>
  </si>
  <si>
    <t>A.5.7 معلومات التهديدات (Threat Intelligence)</t>
  </si>
  <si>
    <t>A.5.8 أمن المعلومات في إدارة المشاريع</t>
  </si>
  <si>
    <t>A.5.9 جرد المعلومات والأصول المرتبطة بها</t>
  </si>
  <si>
    <t>A.5.10 الاستخدام المقبول للمعلومات والأصول</t>
  </si>
  <si>
    <t>A.5.11 إعادة الأصول</t>
  </si>
  <si>
    <t>A.5.12 تصنيف المعلومات</t>
  </si>
  <si>
    <t>A.5.13 وضع العلامات على المعلومات</t>
  </si>
  <si>
    <t>A.5.14 نقل المعلومات</t>
  </si>
  <si>
    <t>A.5.15 التحكم في الوصول</t>
  </si>
  <si>
    <t>A.5.16 إدارة الهوية</t>
  </si>
  <si>
    <t>A.5.17 معلومات المصادقة</t>
  </si>
  <si>
    <t>A.5.18 حقوق الوصول</t>
  </si>
  <si>
    <t>A.5.19 أمن المعلومات في علاقات الموردين</t>
  </si>
  <si>
    <t>A.5.20 معالجة أمن المعلومات ضمن اتفاقيات الموردين</t>
  </si>
  <si>
    <t>A.5.21 إدارة أمن المعلومات في سلسلة توريد تقنية المعلومات</t>
  </si>
  <si>
    <t>A.5.22 مراقبة ومراجعة وإدارة تغييرات خدمات الموردين</t>
  </si>
  <si>
    <t>A.5.23 أمن المعلومات عند استخدام الخدمات السحابية</t>
  </si>
  <si>
    <t>A.5.24 تخطيط وإعداد إدارة حوادث أمن المعلومات</t>
  </si>
  <si>
    <t>A.5.25 تقييم الأحداث الأمنية واتخاذ القرار بشأنها</t>
  </si>
  <si>
    <t>A.5.26 الاستجابة لحوادث أمن المعلومات</t>
  </si>
  <si>
    <t>A.5.27 التعلم من حوادث أمن المعلومات</t>
  </si>
  <si>
    <t>A.5.28 جمع الأدلة</t>
  </si>
  <si>
    <t>A.5.29 أمن المعلومات أثناء الانقطاع</t>
  </si>
  <si>
    <t>A.5.30 جاهزية تقنية المعلومات والاتصالات لاستمرارية الأعمال</t>
  </si>
  <si>
    <t>A.5.31 المتطلبات القانونية والنظامية والتنظيمية والتعاقدية</t>
  </si>
  <si>
    <t>A.5.32 حقوق الملكية الفكرية</t>
  </si>
  <si>
    <t>A.5.33 حماية السجلات</t>
  </si>
  <si>
    <t>A.5.34 الخصوصية وحماية المعلومات الشخصية (PII)</t>
  </si>
  <si>
    <t>A.5.35 المراجعة المستقلة لأمن المعلومات</t>
  </si>
  <si>
    <t>A.5.36 الامتثال لسياسات وقواعد ومعايير أمن المعلومات</t>
  </si>
  <si>
    <t>A.5.37 إجراءات التشغيل الموثقة</t>
  </si>
  <si>
    <t>ضوابط الأشخاص (A.6 People controls)</t>
  </si>
  <si>
    <t>A.6.1 الفحص والتدقيق الأمني قبل التوظيف</t>
  </si>
  <si>
    <t>A.6.2 شروط وأحكام التوظيف</t>
  </si>
  <si>
    <t>A.6.3 التوعية والتثقيف والتدريب على أمن المعلومات</t>
  </si>
  <si>
    <t>A.6.4 الإجراءات التأديبية</t>
  </si>
  <si>
    <t>A.6.5 المسؤوليات بعد إنهاء أو تغيير التوظيف</t>
  </si>
  <si>
    <t>A.6.6 اتفاقيات السرية وعدم الإفصاح</t>
  </si>
  <si>
    <t>A.6.7 العمل عن بُعد</t>
  </si>
  <si>
    <t>A.6.8 الإبلاغ عن الأحداث الأمنية</t>
  </si>
  <si>
    <t>الضوابط المادية (A.7 Physical controls)</t>
  </si>
  <si>
    <t>A.7.1 حدود الأمن المادي</t>
  </si>
  <si>
    <t>A.7.2 الدخول المادي</t>
  </si>
  <si>
    <t>A.7.3 تأمين المكاتب والغرف والمرافق</t>
  </si>
  <si>
    <t>A.7.4 مراقبة الأمن المادي</t>
  </si>
  <si>
    <t>A.7.5 الحماية من التهديدات المادية والبيئية</t>
  </si>
  <si>
    <t>A.7.6 العمل في المناطق الآمنة</t>
  </si>
  <si>
    <t>A.7.7 سياسة المكتب النظيف والشاشة النظيفة</t>
  </si>
  <si>
    <t>A.7.8 تموضع المعدات وحمايتها</t>
  </si>
  <si>
    <t>A.7.9 أمن الأصول خارج المواقع</t>
  </si>
  <si>
    <t>A.7.10 وسائط التخزين</t>
  </si>
  <si>
    <t>A.7.11 المرافق المساندة</t>
  </si>
  <si>
    <t>A.7.12 أمن الكابلات</t>
  </si>
  <si>
    <t>A.7.13 صيانة المعدات</t>
  </si>
  <si>
    <t>A.7.14 التخلص الآمن من المعدات أو إعادة استخدامها</t>
  </si>
  <si>
    <t>الضوابط التقنية (A.8 Technological controls)</t>
  </si>
  <si>
    <t>A.8.1 أجهزة المستخدم النهائي</t>
  </si>
  <si>
    <t>A.8.2 حقوق الوصول المميّزة</t>
  </si>
  <si>
    <t>A.8.3 تقييد الوصول إلى المعلومات</t>
  </si>
  <si>
    <t>A.8.4 الوصول إلى الكود المصدري</t>
  </si>
  <si>
    <t>A.8.5 المصادقة الآمنة</t>
  </si>
  <si>
    <t>A.8.6 إدارة السعة</t>
  </si>
  <si>
    <t>A.8.7 الحماية من البرمجيات الخبيثة</t>
  </si>
  <si>
    <t>A.8.8 إدارة الثغرات التقنية</t>
  </si>
  <si>
    <t>A.8.9 إدارة التكوينات</t>
  </si>
  <si>
    <t>A.8.10 حذف المعلومات</t>
  </si>
  <si>
    <t>A.8.11 إخفاء البيانات (Data Masking)</t>
  </si>
  <si>
    <t>A.8.12 منع تسرب البيانات (DLP)</t>
  </si>
  <si>
    <t>A.8.13 النسخ الاحتياطي للمعلومات</t>
  </si>
  <si>
    <t>A.8.14 التكرارية في مرافق معالجة المعلومات</t>
  </si>
  <si>
    <t>A.8.15 تسجيل الأحداث (Logging)</t>
  </si>
  <si>
    <t>A.8.16 أنشطة المراقبة</t>
  </si>
  <si>
    <t>A.8.17 مزامنة الساعة</t>
  </si>
  <si>
    <t>A.8.18 استخدام البرامج الإدارية المميّزة</t>
  </si>
  <si>
    <t>A.8.19 تثبيت البرمجيات على الأنظمة التشغيلية</t>
  </si>
  <si>
    <t>A.8.20 أمن الشبكات</t>
  </si>
  <si>
    <t>A.8.21 أمن خدمات الشبكة</t>
  </si>
  <si>
    <t>A.8.22 تجزئة الشبكات</t>
  </si>
  <si>
    <t>A.8.23 تصفية الويب</t>
  </si>
  <si>
    <t>A.8.24 استخدام التشفير</t>
  </si>
  <si>
    <t>A.8.25 دورة حياة التطوير الآمن</t>
  </si>
  <si>
    <t>A.8.26 متطلبات أمن التطبيقات</t>
  </si>
  <si>
    <t>A.8.27 مبادئ هندسة ومعمارية الأنظمة الآمنة</t>
  </si>
  <si>
    <t>A.8.28 الترميز الآمن</t>
  </si>
  <si>
    <t>A.8.29 اختبارات الأمان في التطوير والقبول</t>
  </si>
  <si>
    <t>A.8.30 التطوير المُستعان به من الخارج</t>
  </si>
  <si>
    <t>A.8.31 فصل بيئات التطوير والاختبار والإنتاج</t>
  </si>
  <si>
    <t>A.8.32 إدارة التغيير</t>
  </si>
  <si>
    <t>A.8.33 معلومات الاختبار</t>
  </si>
  <si>
    <t>A.8.34 حماية أنظمة المعلومات أثناء اختبارات التدقيق</t>
  </si>
  <si>
    <t>الأصل | التهديد | نقطة الضعف | نوع الخطر | الضابط المرجعي</t>
  </si>
  <si>
    <t>الجدول أدناه يعرض العلاقة بين الأصل والتهديد ونقطة الضعف ونوع الخطر والضابط المرجعي للمخاطر المسجلة فعلياً في سجل مخاطر بنك الآفاق الرقمية.</t>
  </si>
  <si>
    <t>يمكن استخدام هذا الجدول مرجعاً عند تسجيل مخاطر جديدة، وهو مطابق لبيانات ورقة «Risk Assessment» في هذه الأداة ولتقرير تقييم ومعالجة المخاطر (ISMS-DOC-06-3).</t>
  </si>
  <si>
    <t>مجموعة الأصل</t>
  </si>
  <si>
    <t>التهديد</t>
  </si>
  <si>
    <t>نقطة الضعف</t>
  </si>
  <si>
    <t>نوع الخطر</t>
  </si>
  <si>
    <t>ضابط الملحق A</t>
  </si>
  <si>
    <t>قائمة أصول المعلومات المرجعية</t>
  </si>
  <si>
    <t>القائمة أدناه مستخرجة من جرد أصول المعلومات المعتمد (ISMS-DOC-A05-9-2) وتُستخدم مرجعاً لاختيار الأصل المناسب عند تسجيل كل خطر في ورقة تقييم المخاطر.</t>
  </si>
  <si>
    <t>ملاحظة: تفاصيل كل أصل (الوصف، الغرض، المالك، التصنيف، الأهمية، الحساسية، مدة الاحتفاظ) موثقة في ورقة جرد أصول المعلومات، ويرتبط كل أصل هنا بمرجعه الموحد (A-001 إلى A-048).</t>
  </si>
  <si>
    <t>النوع</t>
  </si>
  <si>
    <t>الأصل</t>
  </si>
  <si>
    <t>معلومات</t>
  </si>
  <si>
    <t>A-001 - قاعدة بيانات العملاء الرئيسية (Oracle)</t>
  </si>
  <si>
    <t>A-006 - بيانات الاشتراك في الخدمات الرقمية</t>
  </si>
  <si>
    <t>A-007 - البيانات البيومترية للعملاء</t>
  </si>
  <si>
    <t>A-008 - سجلات التواصل مع العملاء</t>
  </si>
  <si>
    <t>A-003 - قاعدة بيانات الموارد البشرية والرواتب (SQL Server)</t>
  </si>
  <si>
    <t>البيانات المالية والمحاسبية</t>
  </si>
  <si>
    <t>A-002 - قاعدة بيانات المعاملات المالية (Oracle)</t>
  </si>
  <si>
    <t>A-005 - مستودع البيانات (Data Warehouse)</t>
  </si>
  <si>
    <t>A-009 - البيانات المالية والمحاسبية</t>
  </si>
  <si>
    <t>A-010 - بيانات الخزينة والاستثمار</t>
  </si>
  <si>
    <t>A-011 - البيانات التنظيمية والحوكمة</t>
  </si>
  <si>
    <t>A-012 - وثائق نظام إدارة أمن المعلومات (ISMS)</t>
  </si>
  <si>
    <t>A-013 - الكود المصدري لتطبيقات البنك</t>
  </si>
  <si>
    <t>A-014 - وثائق ومخططات البنية التحتية للشبكة</t>
  </si>
  <si>
    <t>A-015 - كلمات المرور الإدارية ومفاتيح الوصول</t>
  </si>
  <si>
    <t>A-016 - مفاتيح التشفير والشهادات الرقمية</t>
  </si>
  <si>
    <t>A-017 - سجلات الأمان والأحداث (Security &amp; Event Logs)</t>
  </si>
  <si>
    <t>A-018 - تقارير فحص الثغرات واختبارات الاختراق</t>
  </si>
  <si>
    <t>A-019 - خطط استمرارية الأعمال والتعافي من الكوارث</t>
  </si>
  <si>
    <t>برمجيات</t>
  </si>
  <si>
    <t>A-020 - تطبيق آفاق بلس للهاتف المحمول</t>
  </si>
  <si>
    <t>A-021 - منصة آفاق نت للخدمات المصرفية عبر الإنترنت</t>
  </si>
  <si>
    <t>A-022 - نظام المعاملات المصرفية الأساسي (Core Banking)</t>
  </si>
  <si>
    <t>A-023 - نظام إدارة البطاقات (Card Management)</t>
  </si>
  <si>
    <t>A-024 - نظام الدفعات الفورية (Instant Payments)</t>
  </si>
  <si>
    <t>A-004 - نظام الرواتب القديم (سيبيرولا - Legacy)</t>
  </si>
  <si>
    <t>A-026 - نظام تخطيط موارد المؤسسات (SAP ERP)</t>
  </si>
  <si>
    <t>A-027 - نظام إدارة علاقات العملاء (Microsoft Dynamics CRM)</t>
  </si>
  <si>
    <t>خدمات</t>
  </si>
  <si>
    <t>A-028 - بيئة Microsoft Office 365 (البريد وTeams وSharePoint)</t>
  </si>
  <si>
    <t>A-025 - نظام كشف الاحتيال (Fraud Detection)</t>
  </si>
  <si>
    <t>A-029 - نظام الدليل النشط (Microsoft Active Directory)</t>
  </si>
  <si>
    <t>A-030 - نظام المصادقة متعددة العوامل (RSA SecurID)</t>
  </si>
  <si>
    <t>أجهزة</t>
  </si>
  <si>
    <t>A-031 - جدار الحماية الرئيسي (Palo Alto Networks - زوج عالي التوفر)</t>
  </si>
  <si>
    <t>A-032 - جدار حماية تطبيقات الويب (Fortinet FortiWeb)</t>
  </si>
  <si>
    <t>A-033 - أنظمة كشف ومنع التسلل (IDS/IPS)</t>
  </si>
  <si>
    <t>A-034 - حل مكافحة البرمجيات الخبيثة (Trend Micro)</t>
  </si>
  <si>
    <t>A-035 - بوابة البريد الإلكتروني الآمن (Cisco Email Security)</t>
  </si>
  <si>
    <t>A-036 - منصة إدارة الثغرات (Qualys)</t>
  </si>
  <si>
    <t>A-037 - الخوادم الفعلية وبيئة VMware vSphere</t>
  </si>
  <si>
    <t>A-038 - أنظمة التخزين المركزية (NetApp / Dell EMC)</t>
  </si>
  <si>
    <t>A-039 - خادم النسخ الاحتياطي ومكتبة الأشرطة (Veritas NetBackup)</t>
  </si>
  <si>
    <t>A-040 - أجهزة الشبكة والاتصالات</t>
  </si>
  <si>
    <t>A-043 - أجهزة المستخدم النهائي</t>
  </si>
  <si>
    <t>A-044 - أجهزة الخدمة الذاتية (الصراف الآلي والإيداع)</t>
  </si>
  <si>
    <t>أصول مادية</t>
  </si>
  <si>
    <t>A-045 - البنية التحتية للمرافق في مراكز البيانات</t>
  </si>
  <si>
    <t>A-046 - أنظمة الأمن المادي والتحكم في الدخول والمراقبة</t>
  </si>
  <si>
    <t>A-041 - روابط الاتصال وخدمات الاتصالات</t>
  </si>
  <si>
    <t>A-042 - الخدمة السحابية (Amazon Web Services)</t>
  </si>
  <si>
    <t>A-047 - الموردون ومزودو الخدمات الخارجية</t>
  </si>
  <si>
    <t>أفراد</t>
  </si>
  <si>
    <t>A-048 - الكوادر البشرية وفرق أمن المعلومات</t>
  </si>
  <si>
    <t>قائمة التهديدات المرجعية</t>
  </si>
  <si>
    <t>قائمة التهديدات الآتية مبنية على البيئة التشغيلية لبنك الآفاق الرقمية وعلى التهديدات الواردة في دراسة الحالة للقطاع المصرفي، وتُستخدم مرجعاً عند تحديد التهديد لكل أصل.</t>
  </si>
  <si>
    <t xml:space="preserve"> فئة التهديد</t>
  </si>
  <si>
    <t>مثال من بيئة البنك</t>
  </si>
  <si>
    <t>بشري</t>
  </si>
  <si>
    <t>جهة خارجية خبيثة</t>
  </si>
  <si>
    <t>مجموعة جرائم إلكترونية منظمة تشن هجوم فدية على قواعد بيانات العملاء في مركز البيانات الرئيسي</t>
  </si>
  <si>
    <t>هجوم حجب خدمة موزع (DDoS) يعطل تطبيق آفاق بلس ومنصة آفاق نت في فترة ذروة الرواتب</t>
  </si>
  <si>
    <t>مطلعون (تهديد داخلي)</t>
  </si>
  <si>
    <t>موظف في تقنية المعلومات يستخدم صلاحياته الإدارية لنسخ بيانات العملاء أو تعديل أرصدة</t>
  </si>
  <si>
    <t>موظف سابق يحتفظ ببيانات دخول أو نسخة من الكود المصدري بعد إنهاء خدماته</t>
  </si>
  <si>
    <t>انتحال الشخصية والاحتيال</t>
  </si>
  <si>
    <t>رسالة تصيد بانتحال شخصية المدير المالي تطلب تحويل 150,000 ريال إلى حساب خارجي (وقع فعلاً)</t>
  </si>
  <si>
    <t>احتيال على العملاء عبر انتحال هوية موظف خدمة العملاء للحصول على بيانات الاعتماد أو رمز التحقق</t>
  </si>
  <si>
    <t>فقدان كوادر رئيسية</t>
  </si>
  <si>
    <t>استقالة مهندس قواعد البيانات الوحيد المختص بنظام Core Banking (دوران 12% في تقنية المعلومات)</t>
  </si>
  <si>
    <t>خطأ بشري</t>
  </si>
  <si>
    <t>حذف قاعدة أساسية في جدار الحماية أثناء تغيير غير مُراجع أدى إلى انقطاع الخدمات 3 ساعات (وقع فعلاً)</t>
  </si>
  <si>
    <t>فقدان عرضي</t>
  </si>
  <si>
    <t>فقدان حاسوب محمول غير مشفر يحتوي بيانات عملاء أثناء رحلة عمل (وقع فعلاً)</t>
  </si>
  <si>
    <t>طبيعي</t>
  </si>
  <si>
    <t>حريق</t>
  </si>
  <si>
    <t>حريق في الطابق الثالث من المقر الرئيسي يتلف مركز البيانات الرئيسي</t>
  </si>
  <si>
    <t>عواصف رملية وموجات حر</t>
  </si>
  <si>
    <t>موجة حر شديدة في الرياض ترفع حمل التكييف وتؤدي إلى إيقاف خوادم حمايةً للمعدات</t>
  </si>
  <si>
    <t>فيضانات أو تسرب مياه</t>
  </si>
  <si>
    <t>تسرب مياه إلى غرفة الخوادم في أحد الفروع يتلف أجهزة الشبكة والخادم الفرعي</t>
  </si>
  <si>
    <t>زلزال أو هزات أرضية</t>
  </si>
  <si>
    <t>هزة أرضية تؤثر على منطقة الرياض وتستدعي نقل التشغيل إلى مركز التعافي في جدة</t>
  </si>
  <si>
    <t>تقني</t>
  </si>
  <si>
    <t>عطل في العتاد</t>
  </si>
  <si>
    <t>فشل في وحدة تخزين NetApp يؤثر على قاعدة بيانات العملاء قبل اكتمال النسخ اليومي</t>
  </si>
  <si>
    <t>عطل في البرمجيات</t>
  </si>
  <si>
    <t>خلل في تحديث نظام Core Banking يؤدي إلى معالجة خاطئة للعمليات المالية</t>
  </si>
  <si>
    <t>برمجيات خبيثة وفدية</t>
  </si>
  <si>
    <t>برمجية فدية تنتشر عبر مرفق بريدي وتصيب خوادم التطبيقات وقواعد البيانات</t>
  </si>
  <si>
    <t>استغلال ثغرات</t>
  </si>
  <si>
    <t>استغلال ثغرة حقن SQL عالية الخطورة في تطبيق آفاق بلس لسرقة بيانات العملاء (3 ثغرات رُصدت)</t>
  </si>
  <si>
    <t>انتهاء صلاحية الشهادات</t>
  </si>
  <si>
    <t>انتهاء صلاحية شهادة SSL/TLS لبوابة آفاق نت وظهور تحذيرات أمنية للعملاء (وقع فعلاً)</t>
  </si>
  <si>
    <t>نقص السعة</t>
  </si>
  <si>
    <t>تجاوز سعة التخزين أو عرض النطاق أثناء ذروة نهاية الشهر بما يبطئ الخدمات الرقمية</t>
  </si>
  <si>
    <t>مادي</t>
  </si>
  <si>
    <t>تخريب متعمد</t>
  </si>
  <si>
    <t>عبث متعمد بجهاز صراف آلي مستقل في مركز تجاري لتثبيت أداة نسخ بطاقات (Skimming)</t>
  </si>
  <si>
    <t>سرقة</t>
  </si>
  <si>
    <t>سرقة أجهزة حاسوب محمولة أو أقراص تخزين من مكاتب الإدارات الحساسة خارج ساعات العمل</t>
  </si>
  <si>
    <t>دخول غير مصرح</t>
  </si>
  <si>
    <t>دخول فني مورد إلى مركز البيانات دون مرافقة موظف من البنك (وقع فعلاً)</t>
  </si>
  <si>
    <t>بيئي</t>
  </si>
  <si>
    <t>انقطاع الطاقة</t>
  </si>
  <si>
    <t>انقطاع التيار الكهربائي عن منطقة حي المال والأعمال مع فشل المولد الاحتياطي في أحد الفروع</t>
  </si>
  <si>
    <t>فشل التكييف</t>
  </si>
  <si>
    <t>عطل في وحدات التكييف الدقيقة يرفع حرارة مركز البيانات ويستدعي إيقافاً منظماً للخوادم</t>
  </si>
  <si>
    <t>تشغيلي</t>
  </si>
  <si>
    <t>خطأ في الإجراءات</t>
  </si>
  <si>
    <t>إجراء نسخ احتياطي يفشل ليلاً دون تنبيه فيكتشف الفريق الخلل بعد ساعات (وقع فعلاً)</t>
  </si>
  <si>
    <t>فشل مورد خدمة حرج</t>
  </si>
  <si>
    <t>انقطاع خدمة الإنترنت من المزود الرئيسي أو تعطل منصة مورّد صيانة أجهزة الصراف الآلي</t>
  </si>
  <si>
    <t>هجوم عبر سلسلة التوريد</t>
  </si>
  <si>
    <t>تحديث ملوّث من مورد تقني موثوق يُدخل برمجية خبيثة إلى بيئة البنك</t>
  </si>
  <si>
    <t>عدم امتثال تنظيمي</t>
  </si>
  <si>
    <t>تأخر الإبلاغ عن حادث أمني جسيم للبنك المركزي السعودي خارج المدة النظامية</t>
  </si>
  <si>
    <t>إساءة استخدام الصلاحيات</t>
  </si>
  <si>
    <t>صلاحيات موروثة من مشروع منتهٍ تتيح لموظفي تقنية المعلومات الاطلاع على ملفات الرواتب (وقع فعلاً)</t>
  </si>
  <si>
    <t>مقياس الاحتمالية (Likelihood)</t>
  </si>
  <si>
    <t>يُستخدم هذا الجدول لتحديد درجة الاحتمالية الأنسب لكل تهديد، وتُستخدم الدرجات نفسها في جميع وثائق النظام.</t>
  </si>
  <si>
    <t>الاحتمالية</t>
  </si>
  <si>
    <t>الوصف</t>
  </si>
  <si>
    <t>الملخص</t>
  </si>
  <si>
    <t>نادر جداً</t>
  </si>
  <si>
    <t>لم يحدث من قبل ولا توجد مؤشرات ترجّح حدوثه؛ الضوابط الوقائية فعّالة ومُختبرة.</t>
  </si>
  <si>
    <t>نادر</t>
  </si>
  <si>
    <t>قد يحدث في ظروف استثنائية؛ حدث مرة واحدة في القطاع خلال السنوات الخمس الماضية.</t>
  </si>
  <si>
    <t>محتمل</t>
  </si>
  <si>
    <t>حدوثه وارد خلال السنة؛ توجد سوابق مماثلة في البنك أو في القطاع المصرفي المحلي.</t>
  </si>
  <si>
    <t>مرجح</t>
  </si>
  <si>
    <t>من المرجح حدوثه أكثر من مرة خلال السنة؛ توجد مؤشرات أو سوابق متكررة أو ضعف في الضوابط.</t>
  </si>
  <si>
    <t>شبه مؤكد</t>
  </si>
  <si>
    <t>يحدث بشكل متكرر أو توجد أدلة قوية على قرب وقوعه (كثافة الهجمات على القطاع المصرفي).</t>
  </si>
  <si>
    <t>مقياس التأثير (Impact)</t>
  </si>
  <si>
    <t>يُستخدم هذا الجدول دليلاً لتحديد درجة التأثير الأنسب لكل تهديد، وقد رُوعيت فيه طبيعة القطاع المصرفي ومتطلبات ساما.</t>
  </si>
  <si>
    <t xml:space="preserve"> درجة التأثير</t>
  </si>
  <si>
    <t xml:space="preserve"> مجالات التأثير</t>
  </si>
  <si>
    <t>درجة التأثير</t>
  </si>
  <si>
    <t>الوصف العام</t>
  </si>
  <si>
    <t>الأثر على العملاء</t>
  </si>
  <si>
    <t>التكلفة المالية</t>
  </si>
  <si>
    <t>الصحة والسلامة</t>
  </si>
  <si>
    <t>الضرر بالسمعة</t>
  </si>
  <si>
    <t>الامتثال القانوني والتعاقدي والتنظيمي</t>
  </si>
  <si>
    <t>محدود جداً</t>
  </si>
  <si>
    <t>لا أثر يُذكر على العملاء</t>
  </si>
  <si>
    <t>خسائر أقل من 100 ألف ريال</t>
  </si>
  <si>
    <t>لا أثر على السلامة</t>
  </si>
  <si>
    <t>أثر سمعة مهمَل</t>
  </si>
  <si>
    <t>لا التزامات نظامية</t>
  </si>
  <si>
    <t>اضطراب محدود ومؤقت في خدمة واحدة</t>
  </si>
  <si>
    <t>100 ألف - 1 مليون ريال</t>
  </si>
  <si>
    <t>مخاطر طفيفة ضمن الحدود المقبولة</t>
  </si>
  <si>
    <t>تداول محدود داخلياً</t>
  </si>
  <si>
    <t>ملاحظات رقابية بسيطة</t>
  </si>
  <si>
    <t>توقف جزئي للخدمات مع استمرار تقديمها بصعوبة</t>
  </si>
  <si>
    <t>1 - 5 ملايين ريال</t>
  </si>
  <si>
    <t>خطر متصاعد يتطلب تدخلاً فورياً</t>
  </si>
  <si>
    <t>تغطية إعلامية محدودة وفقدان ثقة شريحة من العملاء</t>
  </si>
  <si>
    <t>خطر مخالفة تنظيمية يستوجب الإبلاغ</t>
  </si>
  <si>
    <t>كبير</t>
  </si>
  <si>
    <t>توقف خدمة حرجة لعدة ساعات وتأثر شريحة واسعة من العملاء</t>
  </si>
  <si>
    <t>5 - 25 مليون ريال</t>
  </si>
  <si>
    <t>خطر جسيم على السلامة</t>
  </si>
  <si>
    <t>أثر سمعة كبير وتدخل البنك المركزي</t>
  </si>
  <si>
    <t>غرامات تنظيمية وإجراءات تصحيحية إلزامية</t>
  </si>
  <si>
    <t>توقف كامل للخدمات المصرفية الرقمية وتأثر جميع العملاء</t>
  </si>
  <si>
    <t>أكثر من 25 مليون ريال</t>
  </si>
  <si>
    <t>خسائر جسيمة أو تهديد مباشر للحياة</t>
  </si>
  <si>
    <t>أزمة سمعة وطنية وفقدان ثقة السوق</t>
  </si>
  <si>
    <t>عقوبات مشددة وإيقاف نشاط أو مسؤولية جنائية</t>
  </si>
  <si>
    <t>جداول الاختيار</t>
  </si>
  <si>
    <t>من 1 إلى 5</t>
  </si>
  <si>
    <t>خيارات المعالجة</t>
  </si>
  <si>
    <t>حالة إجراء المعالجة</t>
  </si>
  <si>
    <t>مرفوض</t>
  </si>
  <si>
    <t>الجداول المحورية</t>
  </si>
  <si>
    <t>جدول نوع الخطر</t>
  </si>
  <si>
    <t>جدول مالك الخطر</t>
  </si>
  <si>
    <t>جدول خيار المعالجة</t>
  </si>
  <si>
    <t>المخاطر قبل المعالجة وبعدها</t>
  </si>
  <si>
    <t>جدول تكلفة المعالجة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</si>
</sst>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809]dd\ mmmm\ yyyy;@"/>
  </numFmts>
  <fonts count="26"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sz val="11"/>
      <name val="Calibri"/>
      <family val="2"/>
      <scheme val="minor"/>
    </font>
    <font>
      <b/>
      <sz val="14"/>
      <color rgb="FF000000"/>
      <name val="Calibri"/>
      <family val="2"/>
      <scheme val="minor"/>
    </font>
    <font>
      <i/>
      <sz val="11"/>
      <color rgb="FF444444"/>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right style="thin">
        <color theme="2" tint="-0.499984740745262"/>
      </right>
      <top style="thin">
        <color theme="2" tint="-0.499984740745262"/>
      </top>
      <bottom style="thin">
        <color theme="2" tint="-0.499984740745262"/>
      </bottom>
      <diagonal/>
    </border>
    <border>
      <left/>
      <right/>
      <top/>
      <bottom style="medium">
        <color theme="2" tint="-0.499984740745262"/>
      </bottom>
      <diagonal/>
    </border>
    <border>
      <left style="thin">
        <color indexed="65"/>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35">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9" fillId="0" borderId="0" xfId="0" applyFont="1"/>
    <xf numFmtId="0" fontId="11" fillId="0" borderId="0" xfId="0" applyFont="1" applyAlignment="1">
      <alignment vertical="top"/>
    </xf>
    <xf numFmtId="0" fontId="0" fillId="0" borderId="0" xfId="0" applyAlignment="1">
      <alignment vertical="top"/>
    </xf>
    <xf numFmtId="0" fontId="6" fillId="0" borderId="0" xfId="0" applyFont="1" applyAlignment="1">
      <alignment horizontal="left" vertical="top" wrapText="1"/>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4" fillId="0" borderId="0" xfId="0" applyFont="1"/>
    <xf numFmtId="0" fontId="12" fillId="0" borderId="0" xfId="0" applyFont="1" applyAlignment="1">
      <alignment horizontal="right"/>
    </xf>
    <xf numFmtId="0" fontId="10" fillId="0" borderId="0" xfId="0" applyFont="1"/>
    <xf numFmtId="0" fontId="10" fillId="0" borderId="0" xfId="0" applyFont="1" applyAlignment="1">
      <alignment horizontal="left"/>
    </xf>
    <xf numFmtId="0" fontId="11" fillId="0" borderId="0" xfId="0" applyFont="1"/>
    <xf numFmtId="0" fontId="10" fillId="5" borderId="5" xfId="0" applyFont="1" applyFill="1" applyBorder="1" applyAlignment="1">
      <alignment vertical="top" wrapText="1"/>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6" fillId="0" borderId="7" xfId="0" applyFont="1" applyBorder="1" applyAlignment="1">
      <alignment vertical="top"/>
    </xf>
    <xf numFmtId="0" fontId="12" fillId="6" borderId="0" xfId="0" applyFont="1" applyFill="1"/>
    <xf numFmtId="0" fontId="12" fillId="0" borderId="0" xfId="0" applyFont="1"/>
    <xf numFmtId="0" fontId="16" fillId="6" borderId="0" xfId="0" applyFont="1" applyFill="1"/>
    <xf numFmtId="0" fontId="0" fillId="6" borderId="0" xfId="0" applyFill="1"/>
    <xf numFmtId="0" fontId="6" fillId="6" borderId="0" xfId="0" applyFont="1" applyFill="1" applyAlignment="1">
      <alignment vertical="top"/>
    </xf>
    <xf numFmtId="0" fontId="17" fillId="0" borderId="0" xfId="0" applyFont="1" applyAlignment="1">
      <alignment horizontal="center" vertical="top" textRotation="90"/>
    </xf>
    <xf numFmtId="0" fontId="16" fillId="6" borderId="0" xfId="0" applyFont="1" applyFill="1" applyAlignment="1">
      <alignment vertical="top"/>
    </xf>
    <xf numFmtId="0" fontId="16" fillId="0" borderId="0" xfId="0" applyFont="1" applyAlignment="1">
      <alignment vertical="top"/>
    </xf>
    <xf numFmtId="0" fontId="19" fillId="0" borderId="0" xfId="0" applyFont="1" applyAlignment="1">
      <alignment horizontal="left" vertical="center"/>
    </xf>
    <xf numFmtId="0" fontId="20" fillId="8" borderId="9" xfId="0" applyFont="1" applyFill="1" applyBorder="1" applyAlignment="1">
      <alignment horizontal="left" vertical="top" indent="1"/>
    </xf>
    <xf numFmtId="0" fontId="18" fillId="8" borderId="9" xfId="0" applyFont="1" applyFill="1" applyBorder="1" applyAlignment="1">
      <alignment horizontal="left" vertical="center" wrapText="1" indent="1"/>
    </xf>
    <xf numFmtId="0" fontId="0" fillId="8" borderId="10" xfId="0" applyFill="1" applyBorder="1" applyAlignment="1">
      <alignment horizontal="center" vertic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0" borderId="0" xfId="0" applyAlignment="1">
      <alignment horizontal="center" vertical="center"/>
    </xf>
    <xf numFmtId="0" fontId="21" fillId="2" borderId="9" xfId="0" applyFont="1" applyFill="1" applyBorder="1" applyAlignment="1">
      <alignment horizontal="left" vertical="center" wrapText="1" indent="1"/>
    </xf>
    <xf numFmtId="0" fontId="22" fillId="3" borderId="9" xfId="0" applyFont="1" applyFill="1" applyBorder="1" applyAlignment="1">
      <alignment horizontal="left" vertical="center" wrapText="1" indent="1"/>
    </xf>
    <xf numFmtId="0" fontId="0" fillId="8" borderId="12" xfId="0" applyFill="1" applyBorder="1" applyAlignment="1">
      <alignment horizontal="center" vertical="center"/>
    </xf>
    <xf numFmtId="0" fontId="0" fillId="4" borderId="11" xfId="0" applyFill="1" applyBorder="1" applyAlignment="1">
      <alignment horizontal="center" vertical="center"/>
    </xf>
    <xf numFmtId="0" fontId="21" fillId="4" borderId="9" xfId="0" applyFont="1" applyFill="1" applyBorder="1" applyAlignment="1">
      <alignment horizontal="left" vertical="center" wrapText="1" indent="1"/>
    </xf>
    <xf numFmtId="0" fontId="0" fillId="8" borderId="13" xfId="0" applyFill="1" applyBorder="1"/>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10" fillId="0" borderId="0" xfId="0" applyFont="1" applyAlignment="1">
      <alignment horizontal="center" vertical="center"/>
    </xf>
    <xf numFmtId="0" fontId="3" fillId="6" borderId="0" xfId="0" applyFont="1" applyFill="1"/>
    <xf numFmtId="0" fontId="24" fillId="0" borderId="0" xfId="0" applyFont="1" applyAlignment="1">
      <alignment horizontal="left" vertical="top" readingOrder="1"/>
    </xf>
    <xf numFmtId="0" fontId="0" fillId="0" borderId="5" xfId="0" applyBorder="1" applyAlignment="1" applyProtection="1">
      <alignment vertical="top" wrapText="1"/>
      <protection locked="0"/>
    </xf>
    <xf numFmtId="0" fontId="0" fillId="0" borderId="0" xfId="0" applyAlignment="1" applyProtection="1">
      <alignment horizontal="right" vertical="top"/>
      <protection locked="0"/>
    </xf>
    <xf numFmtId="0" fontId="6" fillId="0" borderId="0" xfId="0" applyFont="1" applyAlignment="1">
      <alignment horizontal="left" vertical="top"/>
    </xf>
    <xf numFmtId="0" fontId="6" fillId="0" borderId="17" xfId="0" applyFont="1" applyBorder="1" applyAlignment="1">
      <alignment vertical="top"/>
    </xf>
    <xf numFmtId="0" fontId="10" fillId="5" borderId="18" xfId="0" applyFont="1" applyFill="1" applyBorder="1" applyAlignment="1">
      <alignment vertical="top" wrapText="1"/>
    </xf>
    <xf numFmtId="0" fontId="0" fillId="0" borderId="18" xfId="0" applyBorder="1" applyAlignment="1" applyProtection="1">
      <alignment vertical="top" wrapText="1"/>
      <protection locked="0"/>
    </xf>
    <xf numFmtId="0" fontId="10" fillId="5" borderId="19" xfId="0" applyFont="1" applyFill="1" applyBorder="1" applyAlignment="1">
      <alignment vertical="top" wrapText="1"/>
    </xf>
    <xf numFmtId="0" fontId="0" fillId="0" borderId="19" xfId="0" applyBorder="1" applyAlignment="1" applyProtection="1">
      <alignment vertical="top" wrapText="1"/>
      <protection locked="0"/>
    </xf>
    <xf numFmtId="164" fontId="0" fillId="0" borderId="19" xfId="0" applyNumberFormat="1" applyBorder="1" applyAlignment="1" applyProtection="1">
      <alignment vertical="top" wrapText="1"/>
      <protection locked="0"/>
    </xf>
    <xf numFmtId="0" fontId="0" fillId="0" borderId="20" xfId="0" applyBorder="1" applyAlignment="1" applyProtection="1">
      <alignment vertical="top" wrapText="1"/>
      <protection locked="0"/>
    </xf>
    <xf numFmtId="0" fontId="12" fillId="6" borderId="0" xfId="0" applyFont="1" applyFill="1" applyAlignment="1">
      <alignment horizontal="left"/>
    </xf>
    <xf numFmtId="0" fontId="12" fillId="0" borderId="0" xfId="0" applyFont="1" applyAlignment="1">
      <alignment horizontal="left"/>
    </xf>
    <xf numFmtId="0" fontId="5" fillId="6" borderId="0" xfId="0" applyFont="1" applyFill="1" applyAlignment="1">
      <alignment vertical="top" wrapText="1"/>
    </xf>
    <xf numFmtId="0" fontId="0" fillId="0" borderId="22" xfId="0" applyBorder="1"/>
    <xf numFmtId="0" fontId="0" fillId="0" borderId="22" xfId="0" applyBorder="1" applyAlignment="1">
      <alignment horizontal="right"/>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27" xfId="0" applyBorder="1" applyAlignment="1">
      <alignment horizontal="right"/>
    </xf>
    <xf numFmtId="0" fontId="0" fillId="0" borderId="28" xfId="0" applyBorder="1" applyAlignment="1">
      <alignment horizontal="right"/>
    </xf>
    <xf numFmtId="0" fontId="0" fillId="0" borderId="29"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12" fillId="6" borderId="24" xfId="0" applyFont="1" applyFill="1" applyBorder="1"/>
    <xf numFmtId="0" fontId="12" fillId="6" borderId="25" xfId="0" applyFont="1" applyFill="1" applyBorder="1"/>
    <xf numFmtId="0" fontId="12" fillId="6" borderId="26" xfId="0" applyFont="1" applyFill="1" applyBorder="1"/>
    <xf numFmtId="0" fontId="6" fillId="0" borderId="0" xfId="0" applyFont="1" applyAlignment="1">
      <alignment horizontal="right" vertical="top" wrapText="1"/>
    </xf>
    <xf numFmtId="0" fontId="25" fillId="0" borderId="0" xfId="0" applyFont="1" applyAlignment="1">
      <alignment horizontal="right" vertical="top"/>
    </xf>
    <xf numFmtId="0" fontId="6" fillId="0" borderId="6" xfId="0" applyFont="1" applyBorder="1" applyAlignment="1">
      <alignment horizontal="right" vertical="top"/>
    </xf>
    <xf numFmtId="0" fontId="11" fillId="0" borderId="0" xfId="0" applyFont="1" applyAlignment="1" applyProtection="1">
      <alignment horizontal="right" vertical="top"/>
      <protection locked="0"/>
    </xf>
    <xf numFmtId="0" fontId="3" fillId="6" borderId="0" xfId="0" applyFont="1" applyFill="1" applyAlignment="1" applyProtection="1">
      <alignment horizontal="right" vertical="center" wrapText="1"/>
      <protection locked="0"/>
    </xf>
    <xf numFmtId="0" fontId="3" fillId="6" borderId="0" xfId="0" applyFont="1" applyFill="1" applyAlignment="1" applyProtection="1">
      <alignment horizontal="right" vertical="center"/>
      <protection locked="0"/>
    </xf>
    <xf numFmtId="0" fontId="8" fillId="0" borderId="0" xfId="0" applyFont="1" applyAlignment="1">
      <alignment horizontal="right"/>
    </xf>
    <xf numFmtId="0" fontId="0" fillId="0" borderId="0" xfId="0" applyAlignment="1">
      <alignment horizontal="right"/>
    </xf>
    <xf numFmtId="0" fontId="0" fillId="0" borderId="16" xfId="0" applyBorder="1" applyAlignment="1">
      <alignment horizontal="right"/>
    </xf>
    <xf numFmtId="0" fontId="0" fillId="0" borderId="6" xfId="0" applyBorder="1" applyAlignment="1">
      <alignment horizontal="right"/>
    </xf>
    <xf numFmtId="0" fontId="0" fillId="0" borderId="0" xfId="0" applyAlignment="1" applyProtection="1">
      <alignment horizontal="right" vertical="top" wrapText="1"/>
      <protection locked="0"/>
    </xf>
    <xf numFmtId="0" fontId="11" fillId="0" borderId="0" xfId="0" applyFont="1" applyAlignment="1">
      <alignment horizontal="right" vertical="top"/>
    </xf>
    <xf numFmtId="0" fontId="0" fillId="0" borderId="0" xfId="0" applyAlignment="1">
      <alignment horizontal="right" vertical="top"/>
    </xf>
    <xf numFmtId="0" fontId="3" fillId="6" borderId="0" xfId="0" applyFont="1" applyFill="1" applyAlignment="1">
      <alignment horizontal="right" vertical="center" wrapText="1"/>
    </xf>
    <xf numFmtId="0" fontId="3" fillId="6" borderId="0" xfId="0" applyFont="1" applyFill="1" applyAlignment="1">
      <alignment horizontal="right" vertical="center"/>
    </xf>
    <xf numFmtId="0" fontId="8" fillId="0" borderId="0" xfId="0" applyFont="1" applyAlignment="1">
      <alignment horizontal="right" vertical="top" wrapText="1"/>
    </xf>
    <xf numFmtId="0" fontId="0" fillId="0" borderId="0" xfId="0" applyAlignment="1">
      <alignment horizontal="right" vertical="top" wrapText="1"/>
    </xf>
    <xf numFmtId="0" fontId="10" fillId="0" borderId="0" xfId="0" applyFont="1" applyAlignment="1">
      <alignment horizontal="right" vertical="top" wrapText="1"/>
    </xf>
    <xf numFmtId="0" fontId="10" fillId="0" borderId="6" xfId="0" applyFont="1" applyBorder="1" applyAlignment="1">
      <alignment horizontal="right" vertical="top" wrapText="1"/>
    </xf>
    <xf numFmtId="0" fontId="0" fillId="0" borderId="6" xfId="0" applyBorder="1" applyAlignment="1">
      <alignment horizontal="right" vertical="top" wrapText="1"/>
    </xf>
    <xf numFmtId="0" fontId="7" fillId="0" borderId="0" xfId="0" applyFont="1" applyAlignment="1">
      <alignment horizontal="right" vertical="top" wrapText="1"/>
    </xf>
    <xf numFmtId="0" fontId="0" fillId="0" borderId="7" xfId="0" applyBorder="1" applyAlignment="1">
      <alignment horizontal="right" vertical="top"/>
    </xf>
    <xf numFmtId="0" fontId="10" fillId="0" borderId="0" xfId="0" applyFont="1" applyAlignment="1" applyProtection="1">
      <alignment horizontal="right" vertical="center" wrapText="1"/>
      <protection locked="0"/>
    </xf>
    <xf numFmtId="0" fontId="10" fillId="0" borderId="0" xfId="0" applyFont="1" applyAlignment="1" applyProtection="1">
      <alignment horizontal="right" vertical="center"/>
      <protection locked="0"/>
    </xf>
    <xf numFmtId="0" fontId="6" fillId="0" borderId="7" xfId="0" applyFont="1" applyBorder="1" applyAlignment="1" applyProtection="1">
      <alignment horizontal="right" vertical="top"/>
      <protection locked="0"/>
    </xf>
    <xf numFmtId="0" fontId="14" fillId="0" borderId="0" xfId="0" applyFont="1" applyAlignment="1">
      <alignment horizontal="right" vertical="top"/>
    </xf>
    <xf numFmtId="0" fontId="13" fillId="0" borderId="0" xfId="0" applyFont="1" applyAlignment="1">
      <alignment horizontal="right" vertical="top"/>
    </xf>
    <xf numFmtId="0" fontId="0" fillId="0" borderId="21" xfId="0" applyBorder="1" applyAlignment="1">
      <alignment horizontal="right" vertical="top" wrapText="1"/>
    </xf>
    <xf numFmtId="0" fontId="14" fillId="0" borderId="0" xfId="0" applyFont="1" applyAlignment="1">
      <alignment horizontal="right" vertical="top" wrapText="1"/>
    </xf>
    <xf numFmtId="0" fontId="14" fillId="0" borderId="0" xfId="0" applyFont="1" applyAlignment="1">
      <alignment horizontal="right"/>
    </xf>
    <xf numFmtId="0" fontId="3" fillId="0" borderId="0" xfId="0" applyFont="1" applyAlignment="1">
      <alignment horizontal="right" vertical="top"/>
    </xf>
    <xf numFmtId="0" fontId="0" fillId="0" borderId="0" xfId="0" applyAlignment="1">
      <alignment horizontal="center" vertical="top" readingOrder="2"/>
    </xf>
    <xf numFmtId="0" fontId="0" fillId="0" borderId="0" xfId="0" applyAlignment="1">
      <alignment horizontal="center" vertical="top" wrapText="1" readingOrder="2"/>
    </xf>
    <xf numFmtId="0" fontId="0" fillId="0" borderId="0" xfId="0" quotePrefix="1" applyAlignment="1">
      <alignment horizontal="center" vertical="top" readingOrder="2"/>
    </xf>
    <xf numFmtId="0" fontId="0" fillId="0" borderId="0" xfId="0" applyAlignment="1" applyProtection="1">
      <alignment horizontal="center" vertical="top" wrapText="1" readingOrder="2"/>
      <protection locked="0"/>
    </xf>
    <xf numFmtId="17" fontId="0" fillId="0" borderId="0" xfId="0" applyNumberFormat="1" applyAlignment="1" applyProtection="1">
      <alignment horizontal="center" vertical="top" wrapText="1" readingOrder="2"/>
      <protection locked="0"/>
    </xf>
    <xf numFmtId="0" fontId="0" fillId="0" borderId="0" xfId="0" applyAlignment="1">
      <alignment horizontal="right" vertical="top" readingOrder="2"/>
    </xf>
    <xf numFmtId="0" fontId="4" fillId="0" borderId="0" xfId="0" applyFont="1" applyAlignment="1">
      <alignment horizontal="right" vertical="top" readingOrder="2"/>
    </xf>
    <xf numFmtId="0" fontId="11" fillId="0" borderId="0" xfId="0" applyFont="1" applyAlignment="1">
      <alignment horizontal="right" vertical="top" readingOrder="2"/>
    </xf>
    <xf numFmtId="0" fontId="0" fillId="9" borderId="0" xfId="0" applyFill="1" applyAlignment="1">
      <alignment horizontal="right" vertical="top" readingOrder="2"/>
    </xf>
    <xf numFmtId="0" fontId="10" fillId="0" borderId="0" xfId="0" applyFont="1" applyAlignment="1">
      <alignment horizontal="right" vertical="top" readingOrder="2"/>
    </xf>
    <xf numFmtId="0" fontId="0" fillId="0" borderId="0" xfId="0" applyAlignment="1">
      <alignment horizontal="right" vertical="top" wrapText="1" readingOrder="2"/>
    </xf>
    <xf numFmtId="0" fontId="0" fillId="0" borderId="0" xfId="0" applyAlignment="1" applyProtection="1">
      <alignment horizontal="right" vertical="top" wrapText="1" readingOrder="2"/>
      <protection locked="0"/>
    </xf>
    <xf numFmtId="43" fontId="0" fillId="0" borderId="0" xfId="0" applyNumberFormat="1" applyAlignment="1" applyProtection="1">
      <alignment horizontal="right" vertical="top" wrapText="1" readingOrder="2"/>
      <protection locked="0"/>
    </xf>
    <xf numFmtId="0" fontId="23" fillId="0" borderId="0" xfId="0" applyFont="1" applyAlignment="1">
      <alignment horizontal="right" vertical="top" wrapText="1" readingOrder="2"/>
    </xf>
    <xf numFmtId="0" fontId="0" fillId="0" borderId="0" xfId="0" applyAlignment="1">
      <alignment vertical="top" wrapText="1" readingOrder="2"/>
    </xf>
    <xf numFmtId="0" fontId="3" fillId="7" borderId="0" xfId="0" applyFont="1" applyFill="1" applyAlignment="1">
      <alignment horizontal="right" vertical="top" readingOrder="2"/>
    </xf>
    <xf numFmtId="0" fontId="3" fillId="7" borderId="3" xfId="0" applyFont="1" applyFill="1" applyBorder="1" applyAlignment="1">
      <alignment horizontal="right" vertical="top" readingOrder="2"/>
    </xf>
    <xf numFmtId="0" fontId="3" fillId="7" borderId="4" xfId="0" applyFont="1" applyFill="1" applyBorder="1" applyAlignment="1">
      <alignment horizontal="right" vertical="top" readingOrder="2"/>
    </xf>
    <xf numFmtId="0" fontId="10" fillId="0" borderId="0" xfId="0" applyFont="1" applyAlignment="1">
      <alignment horizontal="center" vertical="center"/>
    </xf>
    <xf numFmtId="0" fontId="18" fillId="0" borderId="0" xfId="0" applyFont="1" applyAlignment="1">
      <alignment horizontal="center" vertical="center" textRotation="90"/>
    </xf>
    <xf numFmtId="0" fontId="19" fillId="0" borderId="8" xfId="0" applyFont="1" applyBorder="1" applyAlignment="1">
      <alignment horizontal="center" vertical="center"/>
    </xf>
    <xf numFmtId="0" fontId="10" fillId="0" borderId="0" xfId="0" applyFont="1" applyAlignment="1">
      <alignment horizontal="center" vertical="center" textRotation="90"/>
    </xf>
  </cellXfs>
  <cellStyles count="3">
    <cellStyle name="Heading 1" xfId="1" builtinId="16" customBuiltin="1"/>
    <cellStyle name="Heading 2" xfId="2" builtinId="17" customBuiltin="1"/>
    <cellStyle name="Normal" xfId="0" builtinId="0"/>
  </cellStyles>
  <dxfs count="183">
    <dxf>
      <fill>
        <patternFill patternType="solid">
          <bgColor theme="2" tint="-0.499984740745262"/>
        </patternFill>
      </fill>
    </dxf>
    <dxf>
      <font>
        <color theme="0"/>
      </font>
    </dxf>
    <dxf>
      <fill>
        <patternFill patternType="solid">
          <bgColor rgb="FFFFFF00"/>
        </patternFill>
      </fill>
    </dxf>
    <dxf>
      <fill>
        <patternFill>
          <bgColor theme="2" tint="-0.499984740745262"/>
        </patternFill>
      </fill>
    </dxf>
    <dxf>
      <font>
        <color theme="0"/>
      </font>
    </dxf>
    <dxf>
      <fill>
        <patternFill patternType="solid">
          <bgColor theme="7"/>
        </patternFill>
      </fill>
    </dxf>
    <dxf>
      <font>
        <color theme="0"/>
      </font>
    </dxf>
    <dxf>
      <fill>
        <patternFill patternType="solid">
          <bgColor theme="7"/>
        </patternFill>
      </fill>
    </dxf>
    <dxf>
      <font>
        <color theme="0"/>
      </font>
    </dxf>
    <dxf>
      <fill>
        <patternFill>
          <bgColor theme="3"/>
        </patternFill>
      </fill>
    </dxf>
    <dxf>
      <fill>
        <patternFill>
          <bgColor theme="3"/>
        </patternFill>
      </fill>
    </dxf>
    <dxf>
      <fill>
        <patternFill>
          <bgColor theme="2" tint="-0.499984740745262"/>
        </patternFill>
      </fill>
    </dxf>
    <dxf>
      <fill>
        <patternFill>
          <bgColor theme="2" tint="-0.499984740745262"/>
        </patternFill>
      </fill>
    </dxf>
    <dxf>
      <fill>
        <patternFill patternType="solid">
          <bgColor theme="3"/>
        </patternFill>
      </fill>
    </dxf>
    <dxf>
      <fill>
        <patternFill patternType="solid">
          <bgColor theme="3"/>
        </patternFill>
      </fill>
    </dxf>
    <dxf>
      <fill>
        <patternFill patternType="solid">
          <bgColor theme="3"/>
        </patternFill>
      </fill>
    </dxf>
    <dxf>
      <font>
        <color theme="0"/>
      </font>
    </dxf>
    <dxf>
      <font>
        <color theme="0"/>
      </font>
    </dxf>
    <dxf>
      <font>
        <color theme="0"/>
      </font>
    </dxf>
    <dxf>
      <alignment horizontal="right"/>
    </dxf>
    <dxf>
      <fill>
        <patternFill patternType="solid">
          <bgColor theme="3"/>
        </patternFill>
      </fill>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theme="0"/>
      </font>
    </dxf>
    <dxf>
      <font>
        <color theme="0"/>
      </font>
    </dxf>
    <dxf>
      <font>
        <color theme="0"/>
      </font>
    </dxf>
    <dxf>
      <font>
        <color theme="0"/>
      </font>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alignment wrapText="1"/>
    </dxf>
    <dxf>
      <fill>
        <patternFill patternType="solid">
          <bgColor theme="3"/>
        </patternFill>
      </fill>
    </dxf>
    <dxf>
      <font>
        <color theme="0"/>
      </font>
    </dxf>
    <dxf>
      <fill>
        <patternFill patternType="solid">
          <bgColor theme="3"/>
        </patternFill>
      </fill>
    </dxf>
    <dxf>
      <fill>
        <patternFill patternType="solid">
          <bgColor theme="3"/>
        </patternFill>
      </fill>
    </dxf>
    <dxf>
      <font>
        <color theme="0"/>
      </font>
    </dxf>
    <dxf>
      <font>
        <color theme="0"/>
      </font>
    </dxf>
    <dxf>
      <fill>
        <patternFill>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font>
        <color theme="0"/>
      </font>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b/>
        <i val="0"/>
        <color theme="0"/>
      </font>
      <fill>
        <patternFill>
          <bgColor rgb="FFFF0000"/>
        </patternFill>
      </fill>
    </dxf>
    <dxf>
      <numFmt numFmtId="0" formatCode="General"/>
    </dxf>
    <dxf>
      <numFmt numFmtId="0" formatCode="Genera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ill>
        <patternFill patternType="solid">
          <bgColor theme="3"/>
        </patternFill>
      </fill>
    </dxf>
    <dxf>
      <alignment wrapText="1"/>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ill>
        <patternFill patternType="solid">
          <bgColor theme="7"/>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ill>
        <patternFill>
          <bgColor theme="2" tint="-0.499984740745262"/>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right" vertical="top" textRotation="0" wrapText="1" indent="0" justifyLastLine="0" shrinkToFit="0" readingOrder="2"/>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2"/>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right" vertical="top" textRotation="0" wrapText="1" indent="0" justifyLastLine="0" shrinkToFit="0" readingOrder="2"/>
      <protection locked="1" hidden="0"/>
    </dxf>
    <dxf>
      <numFmt numFmtId="0" formatCode="General"/>
      <fill>
        <patternFill patternType="none">
          <fgColor indexed="64"/>
          <bgColor indexed="65"/>
        </patternFill>
      </fill>
      <alignment horizontal="center" vertical="top" textRotation="0" wrapText="1" indent="0" justifyLastLine="0" shrinkToFit="0" readingOrder="2"/>
      <protection locked="1" hidden="0"/>
    </dxf>
    <dxf>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numFmt numFmtId="0" formatCode="General"/>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fill>
        <patternFill patternType="none">
          <fgColor indexed="64"/>
          <bgColor indexed="65"/>
        </patternFill>
      </fill>
      <alignment horizontal="right"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top" textRotation="0" wrapText="1" indent="0" justifyLastLine="0" shrinkToFit="0" readingOrder="2"/>
      <protection locked="0" hidden="0"/>
    </dxf>
    <dxf>
      <alignment horizontal="right" vertical="top" textRotation="0" wrapText="1" indent="0" justifyLastLine="0" shrinkToFit="0" readingOrder="2"/>
      <protection locked="1" hidden="0"/>
    </dxf>
    <dxf>
      <alignment horizontal="general" vertical="top" textRotation="0" wrapText="1" indent="0" justifyLastLine="0" shrinkToFit="0" readingOrder="2"/>
      <protection locked="1" hidden="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مقسم ISMS 2" pivot="0" table="0" count="10" xr9:uid="{3FFB1DE4-E006-4679-A759-EEE40E7523CA}">
      <tableStyleElement type="wholeTable" dxfId="182"/>
      <tableStyleElement type="headerRow" dxfId="181"/>
    </tableStyle>
    <tableStyle name="نمط جدول ISMS" pivot="0" count="4" xr9:uid="{DB09D369-C8DC-4F2D-8B79-BD07E6702FD9}">
      <tableStyleElement type="wholeTable" dxfId="180"/>
      <tableStyleElement type="headerRow" dxfId="179"/>
      <tableStyleElement type="firstRowStripe" dxfId="178"/>
      <tableStyleElement type="secondRowStripe" dxfId="177"/>
    </tableStyle>
    <tableStyle name="نمط جدول ISMS 2" pivot="0" count="4" xr9:uid="{9A1B8E80-03E5-4000-8EBF-17CB853EFFC2}">
      <tableStyleElement type="wholeTable" dxfId="176"/>
      <tableStyleElement type="headerRow" dxfId="175"/>
      <tableStyleElement type="firstRowStripe" dxfId="174"/>
      <tableStyleElement type="secondRowStripe" dxfId="173"/>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9" Type="http://schemas.openxmlformats.org/officeDocument/2006/relationships/customXml" Target="../customXml/item2.xml"/><Relationship Id="rId21" Type="http://schemas.openxmlformats.org/officeDocument/2006/relationships/pivotCacheDefinition" Target="pivotCache/pivotCacheDefinition2.xml"/><Relationship Id="rId34"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6.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dLblPos val="outEnd"/>
          <c:showLegendKey val="0"/>
          <c:showVal val="1"/>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3048000</xdr:colOff>
      <xdr:row>0</xdr:row>
      <xdr:rowOff>121920</xdr:rowOff>
    </xdr:from>
    <xdr:to>
      <xdr:col>2</xdr:col>
      <xdr:colOff>83820</xdr:colOff>
      <xdr:row>5</xdr:row>
      <xdr:rowOff>68580</xdr:rowOff>
    </xdr:to>
    <xdr:sp macro="" textlink="">
      <xdr:nvSpPr>
        <xdr:cNvPr id="2" name="TextBox 1">
          <a:extLst>
            <a:ext uri="{FF2B5EF4-FFF2-40B4-BE49-F238E27FC236}">
              <a16:creationId xmlns:a16="http://schemas.microsoft.com/office/drawing/2014/main" id="{40F892C1-B74E-4C25-9A7D-C56581B4B9AA}"/>
            </a:ext>
          </a:extLst>
        </xdr:cNvPr>
        <xdr:cNvSpPr txBox="1"/>
      </xdr:nvSpPr>
      <xdr:spPr>
        <a:xfrm flipH="1">
          <a:off x="10236045060" y="121920"/>
          <a:ext cx="3421380" cy="86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Asset-Based Risk</a:t>
          </a:r>
          <a:r>
            <a:rPr lang="en-GB" sz="1800" b="1" baseline="0">
              <a:solidFill>
                <a:schemeClr val="tx1"/>
              </a:solidFill>
            </a:rPr>
            <a:t> Assessment and Treatment Tool</a:t>
          </a:r>
          <a:endParaRPr lang="en-GB" sz="1800" b="1">
            <a:solidFill>
              <a:schemeClr val="tx1"/>
            </a:solidFill>
          </a:endParaRPr>
        </a:p>
        <a:p>
          <a:pPr algn="r"/>
          <a:r>
            <a:rPr lang="en-GB" sz="1200" b="0">
              <a:solidFill>
                <a:schemeClr val="tx1"/>
              </a:solidFill>
              <a:latin typeface="+mn-lt"/>
            </a:rPr>
            <a:t>ISMS-FORM-06-1</a:t>
          </a:r>
        </a:p>
      </xdr:txBody>
    </xdr:sp>
    <xdr:clientData/>
  </xdr:twoCellAnchor>
  <xdr:twoCellAnchor editAs="oneCell">
    <xdr:from>
      <xdr:col>1</xdr:col>
      <xdr:colOff>1</xdr:colOff>
      <xdr:row>1</xdr:row>
      <xdr:rowOff>0</xdr:rowOff>
    </xdr:from>
    <xdr:to>
      <xdr:col>1</xdr:col>
      <xdr:colOff>2959969</xdr:colOff>
      <xdr:row>5</xdr:row>
      <xdr:rowOff>7620</xdr:rowOff>
    </xdr:to>
    <xdr:pic>
      <xdr:nvPicPr>
        <xdr:cNvPr id="3" name="Picture 2">
          <a:extLst>
            <a:ext uri="{FF2B5EF4-FFF2-40B4-BE49-F238E27FC236}">
              <a16:creationId xmlns:a16="http://schemas.microsoft.com/office/drawing/2014/main" id="{EE4CA222-6589-4073-BC94-4C2420FB9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3581400</xdr:colOff>
      <xdr:row>0</xdr:row>
      <xdr:rowOff>182879</xdr:rowOff>
    </xdr:from>
    <xdr:to>
      <xdr:col>3</xdr:col>
      <xdr:colOff>76200</xdr:colOff>
      <xdr:row>7</xdr:row>
      <xdr:rowOff>66674</xdr:rowOff>
    </xdr:to>
    <xdr:sp macro="" textlink="">
      <xdr:nvSpPr>
        <xdr:cNvPr id="2" name="TextBox 1">
          <a:extLst>
            <a:ext uri="{FF2B5EF4-FFF2-40B4-BE49-F238E27FC236}">
              <a16:creationId xmlns:a16="http://schemas.microsoft.com/office/drawing/2014/main" id="{B16912E5-8F30-46E0-95B6-EAB6D64A3E19}"/>
            </a:ext>
          </a:extLst>
        </xdr:cNvPr>
        <xdr:cNvSpPr txBox="1"/>
      </xdr:nvSpPr>
      <xdr:spPr>
        <a:xfrm flipH="1">
          <a:off x="10235427840" y="182879"/>
          <a:ext cx="2232660" cy="1163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ar-SA" sz="1800" b="1" i="0" u="none" strike="noStrike" kern="0" cap="none" spc="0" normalizeH="0" baseline="0" noProof="0">
              <a:ln>
                <a:noFill/>
              </a:ln>
              <a:solidFill>
                <a:srgbClr val="444444"/>
              </a:solidFill>
              <a:effectLst/>
              <a:uLnTx/>
              <a:uFillTx/>
              <a:latin typeface="+mn-lt"/>
              <a:ea typeface="+mn-ea"/>
              <a:cs typeface="+mn-cs"/>
            </a:rPr>
            <a:t>أداة تقييم ومعالجة المخاطر القائمة على الأصول</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ISMS-FORM-06-1</a:t>
          </a:r>
        </a:p>
      </xdr:txBody>
    </xdr:sp>
    <xdr:clientData/>
  </xdr:twoCellAnchor>
  <xdr:twoCellAnchor editAs="oneCell">
    <xdr:from>
      <xdr:col>1</xdr:col>
      <xdr:colOff>0</xdr:colOff>
      <xdr:row>1</xdr:row>
      <xdr:rowOff>0</xdr:rowOff>
    </xdr:from>
    <xdr:to>
      <xdr:col>2</xdr:col>
      <xdr:colOff>1066165</xdr:colOff>
      <xdr:row>6</xdr:row>
      <xdr:rowOff>114300</xdr:rowOff>
    </xdr:to>
    <xdr:pic>
      <xdr:nvPicPr>
        <xdr:cNvPr id="4" name="Picture 3" descr="Auto Replace">
          <a:extLst>
            <a:ext uri="{FF2B5EF4-FFF2-40B4-BE49-F238E27FC236}">
              <a16:creationId xmlns:a16="http://schemas.microsoft.com/office/drawing/2014/main" id="{D4EB8E70-E63F-4F2A-8FD0-CD5BF0CC56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0175735" y="182880"/>
          <a:ext cx="2780665" cy="102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1905</xdr:colOff>
      <xdr:row>1</xdr:row>
      <xdr:rowOff>0</xdr:rowOff>
    </xdr:from>
    <xdr:to>
      <xdr:col>29</xdr:col>
      <xdr:colOff>541022</xdr:colOff>
      <xdr:row>10</xdr:row>
      <xdr:rowOff>133350</xdr:rowOff>
    </xdr:to>
    <xdr:grpSp>
      <xdr:nvGrpSpPr>
        <xdr:cNvPr id="2" name="Group 1">
          <a:extLst>
            <a:ext uri="{FF2B5EF4-FFF2-40B4-BE49-F238E27FC236}">
              <a16:creationId xmlns:a16="http://schemas.microsoft.com/office/drawing/2014/main" id="{8213393A-3847-464E-99C8-4BF709795B4D}"/>
            </a:ext>
          </a:extLst>
        </xdr:cNvPr>
        <xdr:cNvGrpSpPr/>
      </xdr:nvGrpSpPr>
      <xdr:grpSpPr>
        <a:xfrm flipH="1">
          <a:off x="10218640978" y="182880"/>
          <a:ext cx="7983857" cy="1878330"/>
          <a:chOff x="12114169" y="190500"/>
          <a:chExt cx="10972801" cy="1809750"/>
        </a:xfrm>
      </xdr:grpSpPr>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12114169" y="190500"/>
              <a:ext cx="1828800" cy="18034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10225294192" y="182880"/>
                <a:ext cx="1330643" cy="187173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13942971" y="190500"/>
              <a:ext cx="1828800" cy="18034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0223963548" y="182880"/>
                <a:ext cx="1330643" cy="187173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21258170" y="190500"/>
              <a:ext cx="1828800" cy="180340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0218640978" y="182880"/>
                <a:ext cx="1330643" cy="187173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17600570" y="190500"/>
              <a:ext cx="1828800" cy="1800226"/>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0221302263" y="182880"/>
                <a:ext cx="1330643" cy="186844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19429371" y="190500"/>
              <a:ext cx="1828800" cy="1800226"/>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0219971620" y="182880"/>
                <a:ext cx="1330643" cy="186844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15771770" y="190500"/>
              <a:ext cx="1828800" cy="180975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0222632906" y="182880"/>
                <a:ext cx="1330643" cy="187833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PrintsWithSheet="0"/>
  </xdr:twoCellAnchor>
  <xdr:twoCellAnchor editAs="oneCell">
    <xdr:from>
      <xdr:col>1</xdr:col>
      <xdr:colOff>0</xdr:colOff>
      <xdr:row>1</xdr:row>
      <xdr:rowOff>0</xdr:rowOff>
    </xdr:from>
    <xdr:to>
      <xdr:col>7</xdr:col>
      <xdr:colOff>296545</xdr:colOff>
      <xdr:row>6</xdr:row>
      <xdr:rowOff>106680</xdr:rowOff>
    </xdr:to>
    <xdr:pic>
      <xdr:nvPicPr>
        <xdr:cNvPr id="5" name="Picture 4" descr="Auto Replace">
          <a:extLst>
            <a:ext uri="{FF2B5EF4-FFF2-40B4-BE49-F238E27FC236}">
              <a16:creationId xmlns:a16="http://schemas.microsoft.com/office/drawing/2014/main" id="{2ED230F9-98ED-4F41-A5B2-C9BF1B8E4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2578595" y="182880"/>
          <a:ext cx="2780665" cy="1028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flipH="1">
          <a:off x="9971858686" y="2362200"/>
          <a:ext cx="16764975"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73</xdr:row>
      <xdr:rowOff>0</xdr:rowOff>
    </xdr:from>
    <xdr:to>
      <xdr:col>25</xdr:col>
      <xdr:colOff>569925</xdr:colOff>
      <xdr:row>91</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flipH="1">
          <a:off x="9971861235" y="17114520"/>
          <a:ext cx="16754805" cy="346284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1</xdr:col>
      <xdr:colOff>0</xdr:colOff>
      <xdr:row>1</xdr:row>
      <xdr:rowOff>0</xdr:rowOff>
    </xdr:from>
    <xdr:to>
      <xdr:col>4</xdr:col>
      <xdr:colOff>380365</xdr:colOff>
      <xdr:row>6</xdr:row>
      <xdr:rowOff>114300</xdr:rowOff>
    </xdr:to>
    <xdr:pic>
      <xdr:nvPicPr>
        <xdr:cNvPr id="3" name="Picture 2" descr="Auto Replace">
          <a:extLst>
            <a:ext uri="{FF2B5EF4-FFF2-40B4-BE49-F238E27FC236}">
              <a16:creationId xmlns:a16="http://schemas.microsoft.com/office/drawing/2014/main" id="{AF5500EC-6DFA-4894-A25B-3DE362C032E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85835375" y="182880"/>
          <a:ext cx="2780665" cy="1028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2780665</xdr:colOff>
      <xdr:row>6</xdr:row>
      <xdr:rowOff>114300</xdr:rowOff>
    </xdr:to>
    <xdr:pic>
      <xdr:nvPicPr>
        <xdr:cNvPr id="2" name="Picture 1" descr="Auto Replace">
          <a:extLst>
            <a:ext uri="{FF2B5EF4-FFF2-40B4-BE49-F238E27FC236}">
              <a16:creationId xmlns:a16="http://schemas.microsoft.com/office/drawing/2014/main" id="{62539C2E-6A8B-460A-9617-89BF06B6F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0472915" y="182880"/>
          <a:ext cx="2780665" cy="1028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951865</xdr:colOff>
      <xdr:row>6</xdr:row>
      <xdr:rowOff>114300</xdr:rowOff>
    </xdr:to>
    <xdr:pic>
      <xdr:nvPicPr>
        <xdr:cNvPr id="3" name="Picture 2" descr="Auto Replace">
          <a:extLst>
            <a:ext uri="{FF2B5EF4-FFF2-40B4-BE49-F238E27FC236}">
              <a16:creationId xmlns:a16="http://schemas.microsoft.com/office/drawing/2014/main" id="{919C8AD8-6197-4C15-B151-B8BB4AD3C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3863815" y="182880"/>
          <a:ext cx="2780665" cy="1028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144780</xdr:colOff>
      <xdr:row>1</xdr:row>
      <xdr:rowOff>15240</xdr:rowOff>
    </xdr:from>
    <xdr:to>
      <xdr:col>2</xdr:col>
      <xdr:colOff>1454785</xdr:colOff>
      <xdr:row>6</xdr:row>
      <xdr:rowOff>129540</xdr:rowOff>
    </xdr:to>
    <xdr:pic>
      <xdr:nvPicPr>
        <xdr:cNvPr id="3" name="Picture 2" descr="Auto Replace">
          <a:extLst>
            <a:ext uri="{FF2B5EF4-FFF2-40B4-BE49-F238E27FC236}">
              <a16:creationId xmlns:a16="http://schemas.microsoft.com/office/drawing/2014/main" id="{4F676190-C796-4B6E-83A6-8B1FE9C03C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8476475" y="198120"/>
          <a:ext cx="2780665" cy="10287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1431925</xdr:colOff>
      <xdr:row>6</xdr:row>
      <xdr:rowOff>114300</xdr:rowOff>
    </xdr:to>
    <xdr:pic>
      <xdr:nvPicPr>
        <xdr:cNvPr id="4" name="Picture 3" descr="Auto Replace">
          <a:extLst>
            <a:ext uri="{FF2B5EF4-FFF2-40B4-BE49-F238E27FC236}">
              <a16:creationId xmlns:a16="http://schemas.microsoft.com/office/drawing/2014/main" id="{0255ACB4-64F8-4EAA-B967-CBC98CA9E7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0442435" y="182880"/>
          <a:ext cx="2780665" cy="10287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16383</xdr:col>
      <xdr:colOff>434340</xdr:colOff>
      <xdr:row>1</xdr:row>
      <xdr:rowOff>7620</xdr:rowOff>
    </xdr:from>
    <xdr:to>
      <xdr:col>16384</xdr:col>
      <xdr:colOff>2590165</xdr:colOff>
      <xdr:row>6</xdr:row>
      <xdr:rowOff>121920</xdr:rowOff>
    </xdr:to>
    <xdr:pic>
      <xdr:nvPicPr>
        <xdr:cNvPr id="4" name="Picture 3" descr="Auto Replace">
          <a:extLst>
            <a:ext uri="{FF2B5EF4-FFF2-40B4-BE49-F238E27FC236}">
              <a16:creationId xmlns:a16="http://schemas.microsoft.com/office/drawing/2014/main" id="{F86DFB62-E605-4AEB-B3CD-15F140CF9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165" y="190500"/>
          <a:ext cx="2780665" cy="1028700"/>
        </a:xfrm>
        <a:prstGeom prst="rect">
          <a:avLst/>
        </a:prstGeom>
      </xdr:spPr>
    </xdr:pic>
    <xdr:clientData/>
  </xdr:twoCellAnchor>
  <xdr:twoCellAnchor editAs="oneCell">
    <xdr:from>
      <xdr:col>0</xdr:col>
      <xdr:colOff>130628</xdr:colOff>
      <xdr:row>0</xdr:row>
      <xdr:rowOff>65315</xdr:rowOff>
    </xdr:from>
    <xdr:to>
      <xdr:col>3</xdr:col>
      <xdr:colOff>788579</xdr:colOff>
      <xdr:row>5</xdr:row>
      <xdr:rowOff>168729</xdr:rowOff>
    </xdr:to>
    <xdr:pic>
      <xdr:nvPicPr>
        <xdr:cNvPr id="5" name="Picture 4" descr="Auto Replace">
          <a:extLst>
            <a:ext uri="{FF2B5EF4-FFF2-40B4-BE49-F238E27FC236}">
              <a16:creationId xmlns:a16="http://schemas.microsoft.com/office/drawing/2014/main" id="{19C03779-9BDC-41BF-B080-5C496F3DE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6773364" y="65315"/>
          <a:ext cx="2780665" cy="1028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99060</xdr:colOff>
      <xdr:row>0</xdr:row>
      <xdr:rowOff>129540</xdr:rowOff>
    </xdr:from>
    <xdr:to>
      <xdr:col>3</xdr:col>
      <xdr:colOff>1393825</xdr:colOff>
      <xdr:row>6</xdr:row>
      <xdr:rowOff>60960</xdr:rowOff>
    </xdr:to>
    <xdr:pic>
      <xdr:nvPicPr>
        <xdr:cNvPr id="2" name="Picture 1" descr="Auto Replace">
          <a:extLst>
            <a:ext uri="{FF2B5EF4-FFF2-40B4-BE49-F238E27FC236}">
              <a16:creationId xmlns:a16="http://schemas.microsoft.com/office/drawing/2014/main" id="{AE50AC08-1BFA-A77A-B6C4-B1D5BE79ED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8613635" y="129540"/>
          <a:ext cx="2780665" cy="1028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R KHALID AL-MOSABI" refreshedDate="46278.461864236109" createdVersion="6" refreshedVersion="8" minRefreshableVersion="3" recordCount="4" xr:uid="{24BCF65A-4BA1-4573-989E-EBE63294D3D9}">
  <cacheSource type="worksheet">
    <worksheetSource name="PreMitigationRisksByRiskLevel10"/>
  </cacheSource>
  <cacheFields count="3">
    <cacheField name="مستوى الخطر" numFmtId="0">
      <sharedItems/>
    </cacheField>
    <cacheField name="قبل المعالجة" numFmtId="0">
      <sharedItems containsSemiMixedTypes="0" containsString="0" containsNumber="1" containsInteger="1" minValue="2" maxValue="15"/>
    </cacheField>
    <cacheField name="بعد المعالجة"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R KHALID AL-MOSABI" refreshedDate="46278.461864699071" missingItemsLimit="0" createdVersion="6" refreshedVersion="8" minRefreshableVersion="3" recordCount="32" xr:uid="{D4528FD9-AD79-4888-BF3A-A1D44A9D054F}">
  <cacheSource type="worksheet">
    <worksheetSource name="RiskAssessment"/>
  </cacheSource>
  <cacheFields count="29">
    <cacheField name=" المرجع" numFmtId="0">
      <sharedItems/>
    </cacheField>
    <cacheField name=" مجموعة الأصل" numFmtId="0">
      <sharedItems/>
    </cacheField>
    <cacheField name=" الأصل" numFmtId="0">
      <sharedItems/>
    </cacheField>
    <cacheField name=" التهديد" numFmtId="0">
      <sharedItems/>
    </cacheField>
    <cacheField name=" نقطة الضعف" numFmtId="0">
      <sharedItems/>
    </cacheField>
    <cacheField name=" نوع الخطر" numFmtId="0">
      <sharedItems/>
    </cacheField>
    <cacheField name=" مالك الخطر" numFmtId="0">
      <sharedItems/>
    </cacheField>
    <cacheField name=" الضوابط القائمة" numFmtId="0">
      <sharedItems/>
    </cacheField>
    <cacheField name=" الاحتمالية" numFmtId="0">
      <sharedItems containsSemiMixedTypes="0" containsString="0" containsNumber="1" containsInteger="1" minValue="1" maxValue="4"/>
    </cacheField>
    <cacheField name=" مبرر الاحتمالية" numFmtId="0">
      <sharedItems/>
    </cacheField>
    <cacheField name=" التأثير" numFmtId="0">
      <sharedItems containsSemiMixedTypes="0" containsString="0" containsNumber="1" containsInteger="1" minValue="2" maxValue="5"/>
    </cacheField>
    <cacheField name=" مبرر التأثير" numFmtId="0">
      <sharedItems/>
    </cacheField>
    <cacheField name=" درجة الخطر" numFmtId="0">
      <sharedItems containsSemiMixedTypes="0" containsString="0" containsNumber="1" containsInteger="1" minValue="4" maxValue="20"/>
    </cacheField>
    <cacheField name=" مستوى الخطر" numFmtId="0">
      <sharedItems/>
    </cacheField>
    <cacheField name=" خيار المعالجة المختار" numFmtId="0">
      <sharedItems/>
    </cacheField>
    <cacheField name=" إجراء المعالجة المقترح" numFmtId="0">
      <sharedItems longText="1"/>
    </cacheField>
    <cacheField name=" مرجع الضابط - الملحق A" numFmtId="0">
      <sharedItems/>
    </cacheField>
    <cacheField name=" تكلفة المعالجة" numFmtId="43">
      <sharedItems containsSemiMixedTypes="0" containsString="0" containsNumber="1" containsInteger="1" minValue="0" maxValue="4200000"/>
    </cacheField>
    <cacheField name=" مسؤول إجراء المعالجة" numFmtId="0">
      <sharedItems/>
    </cacheField>
    <cacheField name=" الموعد المستهدف للإجراء" numFmtId="0">
      <sharedItems/>
    </cacheField>
    <cacheField name=" نسبة إنجاز الإجراء" numFmtId="0">
      <sharedItems containsSemiMixedTypes="0" containsString="0" containsNumber="1" minValue="0" maxValue="1"/>
    </cacheField>
    <cacheField name=" حالة الإجراء" numFmtId="0">
      <sharedItems/>
    </cacheField>
    <cacheField name=" الاحتمالية بعد المعالجة" numFmtId="0">
      <sharedItems containsSemiMixedTypes="0" containsString="0" containsNumber="1" containsInteger="1" minValue="1" maxValue="3"/>
    </cacheField>
    <cacheField name=" مبرر الاحتمالية بعد المعالجة" numFmtId="0">
      <sharedItems/>
    </cacheField>
    <cacheField name=" التأثير بعد المعالجة" numFmtId="0">
      <sharedItems containsSemiMixedTypes="0" containsString="0" containsNumber="1" containsInteger="1" minValue="1" maxValue="4"/>
    </cacheField>
    <cacheField name=" مبرر التأثير بعد المعالجة" numFmtId="0">
      <sharedItems/>
    </cacheField>
    <cacheField name=" درجة الخطر بعد المعالجة" numFmtId="0">
      <sharedItems containsSemiMixedTypes="0" containsString="0" containsNumber="1" containsInteger="1" minValue="2" maxValue="12"/>
    </cacheField>
    <cacheField name=" مستوى الخطر بعد المعالجة" numFmtId="0">
      <sharedItems/>
    </cacheField>
    <cacheField name=" ملاحظات"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R KHALID AL-MOSABI" refreshedDate="46278.461864699071" createdVersion="6" refreshedVersion="8" minRefreshableVersion="3" recordCount="4" xr:uid="{DEE2D96F-875B-47BD-A15F-8F45621780F9}">
  <cacheSource type="worksheet">
    <worksheetSource name="PreTreatmentRisksByRiskLevel"/>
  </cacheSource>
  <cacheFields count="2">
    <cacheField name="مستوى الخطر" numFmtId="0">
      <sharedItems/>
    </cacheField>
    <cacheField name="قبل المعالجة" numFmtId="0">
      <sharedItems containsSemiMixedTypes="0" containsString="0" containsNumber="1" containsInteger="1" minValue="2" maxValue="1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R KHALID AL-MOSABI" refreshedDate="46278.461864814817" createdVersion="6" refreshedVersion="8" minRefreshableVersion="3" recordCount="4" xr:uid="{4866C044-9A83-4F76-991A-D830CBE6FB4C}">
  <cacheSource type="worksheet">
    <worksheetSource name="RisksByRiskLevelPreandPostTreatment10"/>
  </cacheSource>
  <cacheFields count="2">
    <cacheField name="مستوى الخطر" numFmtId="0">
      <sharedItems/>
    </cacheField>
    <cacheField name="بعد المعالجة"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منخفض"/>
    <n v="2"/>
    <n v="17"/>
  </r>
  <r>
    <s v="متوسط"/>
    <n v="15"/>
    <n v="13"/>
  </r>
  <r>
    <s v="مرتفع"/>
    <n v="9"/>
    <n v="2"/>
  </r>
  <r>
    <s v="حرج"/>
    <n v="6"/>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R-001"/>
    <s v="بيانات العملاء"/>
    <s v="قاعدة بيانات العملاء الرئيسية وقاعدة بيانات المعاملات ونسخها الاحتياطية"/>
    <s v="هجوم برمجيات الفدية (Ransomware) يشفّر قواعد البيانات والنسخ الاحتياطية المتصلة بالشبكة"/>
    <s v="غياب نظام SIEM للكشف المبكر، وعدم عزل نسخ النسخ الاحتياطي (Immutability)، وعدم كفاية قدرات EDR على الخوادم"/>
    <s v="سرية وسلامة وتوافر (CIA)"/>
    <s v="مدير إدارة تقنية المعلومات"/>
    <s v="حل مكافحة البرمجيات الخبيثة (Trend Micro)، ونسخ احتياطي يومي عبر Veritas NetBackup، وتجزئة الشبكة، وتحديثات دورية"/>
    <n v="4"/>
    <s v="القطاع المصرفي السعودي هدف متكرر لهجمات الفدية، ورُصدت حملات موجهة ضد بنوك رقمية، وغياب SIEM يقلل فرص الاكتشاف المبكر."/>
    <n v="5"/>
    <s v="توقف كامل للخدمات المصرفية الرقمية وتأثر أكثر من 500,000 عميل، وخسائر تتجاوز 25 مليون ريال، وعقوبات من ساما وأزمة سمعة حادة."/>
    <n v="20"/>
    <s v="حرج"/>
    <s v="التخفيف"/>
    <s v="1) تفعيل نسخ احتياطية غير قابلة للتعديل ومعزولة عن الشبكة (Air-Gapped) مع اختبار استعادة ربع سنوي. 2) ترقية حماية النقاط الطرفية والخوادم إلى EDR/XDR. 3) تشغيل SIEM مع حالات استخدام لكشف الفدية. 4) تنفيذ خطة استجابة محددة لسيناريو الفدية ضمن BCP/DR."/>
    <s v="A.8.7، A.8.13، A.8.16، A.5.29، A.5.30"/>
    <n v="4200000"/>
    <s v="مدير إدارة تقنية المعلومات"/>
    <s v="2026-12-31"/>
    <n v="0.35"/>
    <s v="قيد التنفيذ"/>
    <n v="2"/>
    <s v="بعد عزل النسخ وتفعيل EDR وSIEM تصبح فرص نجاح هجوم فدية شامل نادرة، مع بقاء احتمال محدود عبر حساب إداري مخترق."/>
    <n v="4"/>
    <s v="قد يتبقى أثر كبير على خدمة واحدة حرجة قبل اكتمال الاستعادة، لكن دون فقدان بيانات ودون تجاوز هدف زمن الاستعادة."/>
    <n v="8"/>
    <s v="متوسط"/>
    <s v="الخطر الأعلى في السجل؛ رُبط بميزانية الأمن المعتمدة (الرفع من 12 إلى 18 مليون ريال) وبخطة التعافي من الكوارث."/>
  </r>
  <r>
    <s v="R-002"/>
    <s v="بيانات العملاء"/>
    <s v="بيئة Office 365 والبريد المؤسسي وبيانات الإدارة المالية وبيانات اعتماد العملاء"/>
    <s v="هجمات تصيد احتيالي متطورة وانتحال شخصية تنفيذيين لاختراق حسابات الموظفين أو تنفيذ تحويلات احتيالية"/>
    <s v="ضعف الوعي الأمني: 25% من الموظفين نقروا على رابط محاكاة التصيد، و12% أدخلوا بيانات اعتمادهم، و8% فقط أبلغوا، وأعلى نسبة نقر في إدارة التسويق (40%)"/>
    <s v="سرية وسلامة (CI)"/>
    <s v="مدير إدارة أمن المعلومات"/>
    <s v="بوابة البريد الإلكتروني الآمن (Cisco Email Security)، ونظام كشف الاحتيال، وإجراء تحقق هاتفي جزئي للتحويلات الكبيرة، وتوعية سنوية عامة"/>
    <n v="4"/>
    <s v="سجل البنك حادثة فعلية (INC-2025-003) استهدفت الإدارة المالية بمبلغ 150,000 ريال، ونتائج المحاكاة الأخيرة تؤكد استمرار قابلية الموظفين للخداع."/>
    <n v="4"/>
    <s v="خسائر مالية محتملة من 5 إلى 25 مليون ريال في حال نجاح تحويل احتيالي أو اختراق حساب يؤدي إلى تسريب بيانات عملاء، مع أثر سمعة كبير."/>
    <n v="16"/>
    <s v="حرج"/>
    <s v="التخفيف"/>
    <s v="1) تفعيل MFA المقاوم للتصيد (FIDO2) لجميع الموظفين. 2) برنامج توعية شهري مع محاكاة تصيد ربع سنوية وإلزامية تدريب إضافي لمن يقع في المحاكاة. 3) إجراء تحقق إلزامي عبر قناة ثانية لأي تحويل يتجاوز 50,000 ريال. 4) قواعد DMARC/DKIM/SPF صارمة لنطاق البنك."/>
    <s v="A.5.17، A.6.3، A.8.5، A.5.24، A.5.26"/>
    <n v="1500000"/>
    <s v="مدير إدارة أمن المعلومات"/>
    <s v="2026-11-30"/>
    <n v="0.6"/>
    <s v="قيد التنفيذ"/>
    <n v="2"/>
    <s v="MFA المقاوم للتصيد يمنع استخدام بيانات الاعتماد المسروقة، والتدريب الدوري يخفض نسبة النقر المستهدفة إلى أقل من 8%."/>
    <n v="4"/>
    <s v="قد تنجح حملة موجهة عالية الاحتراف في اختراق حساب واحد قبل اكتشافه، ويبقى الأثر محتمل الكبر."/>
    <n v="8"/>
    <s v="متوسط"/>
    <s v="مرتبط مباشرة بالحادثتين INC-2025-003 ومحاكاة التصيد 2026-08-10؛ مؤشر الأداء: نسبة النقر في المحاكاة."/>
  </r>
  <r>
    <s v="R-003"/>
    <s v="التطبيقات المصرفية"/>
    <s v="تطبيق آفاق بلس للهاتف المحمول والكود المصدري الخاص به"/>
    <s v="استغلال ثغرات حقن SQL وعدم كفاية التحقق من صحة المدخلات في تطبيق آفاق بلس للوصول إلى بيانات العملاء أو تنفيذ عمليات غير مصرح بها"/>
    <s v="3 ثغرات عالية الخطورة رُصدت في فحص 2026-07-14 وما زالت إحداها دون معالجة، وضعف ممارسات الترميز الآمن ومراجعة الكود الأمني"/>
    <s v="سرية وسلامة (CI)"/>
    <s v="مدير قسم التطبيقات المصرفية"/>
    <s v="جدار حماية تطبيقات الويب (FortiWeb)، وفحص ربع سنوي للثغرات عبر استشاري خارجي، ومراجعة كود جزئية قبل الإصدارات"/>
    <n v="4"/>
    <s v="الثغرة العالية الثالثة ما زالت مفتوحة منذ أكثر من شهرين والتطبيق مكشوف لأكثر من 500,000 عميل؛ وسبق رصد ثغرات مكررة من فحوصات سابقة دون معالجة."/>
    <n v="4"/>
    <s v="تسريب بيانات عملاء أو تنفيذ عمليات احتيالية بقيمة 5 إلى 25 مليون ريال، وغرامات تنظيمية من ساما وسدايا، وفقدان ثقة العملاء."/>
    <n v="16"/>
    <s v="حرج"/>
    <s v="التخفيف"/>
    <s v="1) معالجة الثغرة العالية المتبقية خلال 15 يوماً وفق مستوى الخدمة الزمني المعتمد. 2) تطبيق الترميز الآمن ومراجعة كود إلزامية (SAST) ضمن دورة التطوير. 3) اختبار اختراق سنوي للتطبيق + فحص DAST قبل كل إصدار رئيس. 4) مكتبة تحقق موحدة من المدخلات (Input Validation) لجميع واجهات التطبيق."/>
    <s v="A.8.8، A.8.25، A.8.26، A.8.28، A.8.29"/>
    <n v="900000"/>
    <s v="رئيس قسم تطوير البرمجيات"/>
    <s v="2026-10-15"/>
    <n v="0.7"/>
    <s v="قيد التنفيذ"/>
    <n v="2"/>
    <s v="بعد إغلاق الثغرات وتطبيق SAST/DAST ومراجعة الكود تصبح فرص استغلال ثغرة معروفة نادرة."/>
    <n v="3"/>
    <s v="قد تظهر ثغرة منطقية جديدة في إصدار لاحق بأثر متوسط حتى معالجتها ضمن نافذة الإصلاح."/>
    <n v="6"/>
    <s v="متوسط"/>
    <s v="مرتبط بفجوة G-11 (ثغرات مكررة غير معالجة) ومؤشر أداء: نسبة إغلاق الثغرات الحرجة خلال المدة المحددة."/>
  </r>
  <r>
    <s v="R-004"/>
    <s v="التطبيقات المصرفية"/>
    <s v="منصة آفاق نت للخدمات المصرفية عبر الإنترنت"/>
    <s v="استغلال الثغرات المتوسطة في منصة آفاق نت (إدارة الجلسات ومعالجة المدخلات) للوصول غير المصرح به إلى حسابات عملاء الشركات"/>
    <s v="7 ثغرات متوسطة الخطورة رُصدت في فحص 2026-07-14 ومعظمها دون معالجة، وتأخر دورة الترقيع للتطبيقات"/>
    <s v="سرية وسلامة (CI)"/>
    <s v="مدير قسم التطبيقات المصرفية"/>
    <s v="جدار حماية تطبيقات الويب، ومصادقة متعددة العوامل للعملاء، ومراقبة جلسات الدخول، وفحص ربع سنوي"/>
    <n v="3"/>
    <s v="الثغرات متوسطة الخطورة ومحمية جزئياً بـWAF وMFA، لكن بقاءها دون معالجة يزيد احتمال استغلالها المتراكم."/>
    <n v="3"/>
    <s v="انكشاف محدود لبيانات عملاء شركات أو تعطيل جزئي للخدمة بخسائر من 1 إلى 5 ملايين ريال وأثر سمعة متوسط."/>
    <n v="9"/>
    <s v="متوسط"/>
    <s v="التخفيف"/>
    <s v="1) إغلاق الثغرات السبع المتوسطة ضمن دورة الإصدار القادمة (30 يوماً). 2) ضبط مهلة انتهاء الجلسات وإلزام إعادة المصادقة للعمليات الحساسة. 3) إدراج المنصة في نطاق اختبار الاختراق السنوي."/>
    <s v="A.8.8، A.8.5، A.8.29"/>
    <n v="250000"/>
    <s v="مدير قسم التطبيقات المصرفية"/>
    <s v="2026-10-31"/>
    <n v="0.4"/>
    <s v="قيد التنفيذ"/>
    <n v="2"/>
    <s v="إغلاق الثغرات وضبط الجلسات يقلل الاحتمالية إلى مستوى نادر."/>
    <n v="3"/>
    <s v="يبقى أثر أي انكشاف محدود متوسطاً لطبيعة بيانات عملاء الشركات."/>
    <n v="6"/>
    <s v="متوسط"/>
    <s v="يُتابع ضمن خطة معالجة الثغرات الشهرية لفريق تقييم المخاطر والثغرات."/>
  </r>
  <r>
    <s v="R-005"/>
    <s v="البيانات التقنية والأمنية"/>
    <s v="كلمات المرور الإدارية ومفاتيح الوصول ونظام الدليل النشط"/>
    <s v="إساءة استخدام الصلاحيات الإدارية أو اختراق حساب مسؤول عبر كلمات مرور مشتركة أو مخزنة يدوياً للسيطرة على بيئة البنك"/>
    <s v="عدم وجود نظام لإدارة الوصول المميّز (PAM)؛ تُدار كلمات مرور المسؤولين يدوياً وتُشارك بين المهندسين (فجوة G-03)"/>
    <s v="سرية وسلامة (CI)"/>
    <s v="مدير إدارة تقنية المعلومات"/>
    <s v="تقييد عدد الحسابات الإدارية، ومصادقة متعددة العوامل (RSA SecurID) لبعض الأنظمة الحساسة، وسجلات دخول AD"/>
    <n v="4"/>
    <s v="المشاركة اليدوية لكلمات المرور قائمة حالياً وتشمل عشرات الحسابات الإدارية؛ أي موظف سابق أو جهاز مخترق قد يكشفها."/>
    <n v="4"/>
    <s v="اختراق حساب إداري يتيح الوصول إلى بيانات العملاء وتعديل التكوينات وتعطيل الأنظمة، بخسائر 5 إلى 25 مليون ريال وغرامات تنظيمية."/>
    <n v="16"/>
    <s v="حرج"/>
    <s v="التخفيف"/>
    <s v="1) توريد وتشغيل نظام PAM مع خزنة كلمات مرور وتدوير آلي كل 24 ساعة للحسابات المميّزة. 2) حظر مشاركة الحسابات وإسناد كل حساب إداري لفرد محدد. 3) تسجيل جلسات الوصول الإداري بالفيديو (Session Recording). 4) مراجعة ربع سنوية للحسابات المميّزة وإلغاء غير المستخدم منها."/>
    <s v="A.5.18، A.8.2، A.8.5، A.8.15، A.8.18"/>
    <n v="1100000"/>
    <s v="مدير قسم البنية التحتية والشبكات"/>
    <s v="2027-01-31"/>
    <n v="0.2"/>
    <s v="قيد التنفيذ"/>
    <n v="2"/>
    <s v="بعد تشغيل PAM والتدوير الآلي وتسجيل الجلسات يصبح اختراق حساب إداري حدثاً نادراً وسهل الاكتشاف."/>
    <n v="4"/>
    <s v="يبقى الأثر كبيراً في حال نجاح اختراق رغم الضوابط بسبب اتساع صلاحيات الحسابات الإدارية."/>
    <n v="8"/>
    <s v="متوسط"/>
    <s v="أحد أهم الفجوات الجوهرية (G-03) المرتبطة بالضابطين A.5.18 وA.8.2؛ المشروع معتمد ضمن ميزانية 2026."/>
  </r>
  <r>
    <s v="R-006"/>
    <s v="بيانات الموظفين"/>
    <s v="قاعدة بيانات الموارد البشرية والرواتب ومجلدات الشبكة المشتركة"/>
    <s v="وصول غير مصرح به إلى ملفات الموظفين الشخصية وبيانات الرواتب وتقييمات الأداء نتيجة صلاحيات موروثة أو زائدة"/>
    <s v="غياب عملية مراجعة دورية لصلاحيات الوصول، وبقاء صلاحيات ممنوحة لمشاريع منتهية (فجوة G-10)، وعدم ربط إغلاق المشاريع بسحب الصلاحيات"/>
    <s v="سرية (C)"/>
    <s v="مدير إدارة الموارد البشرية"/>
    <s v="مجموعات أمنية في Active Directory، وصلاحيات على مستوى المجلدات، ومراجعة روتينية غير مجدولة كشفت الحالة السابقة"/>
    <n v="4"/>
    <s v="رُصدت الحالة فعلاً في 2026-06-21 (INC-2026-009) وكانت الصلاحيات قائمة منذ سنتين دون اكتشاف، مما يؤكد تكرار السبب الجذري."/>
    <n v="3"/>
    <s v="كشف بيانات شخصية لـ2,500 موظف يترتب عليه مخالفات لنظام حماية البيانات الشخصية وشكاوى عمالية وأثر سمعة داخلي بخسائر 1 إلى 5 ملايين ريال."/>
    <n v="12"/>
    <s v="مرتفع"/>
    <s v="التخفيف"/>
    <s v="1) تنفيذ مراجعة ربع سنوية لإجمالي صلاحيات الوصول (UAR) يوقّعها مالك كل أصل. 2) إدراج بند سحب الصلاحيات في قائمة إنجاز إغلاق أي مشروع. 3) تطبيق مبدأ الحد الأدنى من الصلاحيات وإعادة هيكلة مجموعات AD للبيانات الحساسة. 4) تنبيه آلي عند إضافة حساب لمجموعة ذات صلاحية على بيانات حساسة."/>
    <s v="A.5.18، A.5.15، A.8.3، A.5.3"/>
    <n v="180000"/>
    <s v="مدير قسم البنية التحتية والشبكات"/>
    <s v="2026-10-31"/>
    <n v="0.75"/>
    <s v="قيد التنفيذ"/>
    <n v="2"/>
    <s v="المراجعة الربع سنوية والتنبيهات الآلية تجعل بقاء صلاحية زائدة لفترة طويلة أمراً نادراً."/>
    <n v="3"/>
    <s v="يبقى أثر أي انكشاف لبيانات الموظفين متوسطاً لارتفاعه خلال فترة بقاء الصلاحية."/>
    <n v="6"/>
    <s v="متوسط"/>
    <s v="مرتبط بالحادثة INC-2026-009 وبنتيجة التدقيق الداخلي (حالة عدم مطابقة NC-02)."/>
  </r>
  <r>
    <s v="R-007"/>
    <s v="البنية التحتية والأجهزة"/>
    <s v="أجهزة المستخدم النهائي المحمولة والنسخ المحلية من بيانات العملاء"/>
    <s v="فقدان أو سرقة حاسوب محمول أو جهاز ذكي يحتوي بيانات عملاء أو بيانات مصرفية غير مشفرة"/>
    <s v="تشفير BitLocker غير مفعل على جميع الأجهزة (92% حالياً)، وتخزين موظفين نسخاً محلية من بيانات العملاء، وتأخر الإبلاغ عن الفقدان"/>
    <s v="سرية (C)"/>
    <s v="مدير قسم الدعم الفني"/>
    <s v="كلمات مرور للأجهزة، وحظر تخزين بيانات العملاء جزئياً عبر سياسة الاستخدام المقبول، وسجل أصول للأجهزة"/>
    <n v="3"/>
    <s v="وقعت حادثة فعلية قبل 9 أشهر (INC-2025-011) والأجهزة متنقلة بين الفروع ورحلات العمل؛ 8% من الأجهزة ما زالت غير مشفرة."/>
    <n v="4"/>
    <s v="تسريب بيانات عملاء يوجب إبلاغ ساما وسدايا والعملاء المتأثرين، مع غرامة تنظيمية وتكاليف خدمات مراقبة سرقة الهوية وخسائر 5 إلى 25 مليون ريال."/>
    <n v="12"/>
    <s v="مرتفع"/>
    <s v="التخفيف"/>
    <s v="1) إكمال تفعيل BitLocker على 100% من الأجهزة المحمولة عبر Intune خلال 30 يوماً. 2) منع تخزين بيانات العملاء محلياً وتطبيق DLP على الأجهزة الطرفية. 3) خفض زمن الإبلاغ الإلزامي عن فقدان أي جهاز إلى 4 ساعات. 4) إمكانية المسح عن بُعد (Remote Wipe) لجميع الأجهزة المسجلة."/>
    <s v="A.7.9، A.7.10، A.7.14، A.8.24، A.8.12"/>
    <n v="320000"/>
    <s v="مدير قسم الدعم الفني"/>
    <s v="2026-10-31"/>
    <n v="0.85"/>
    <s v="قيد التنفيذ"/>
    <n v="2"/>
    <s v="التشفير الكامل يجعل فقد الجهاز غير مؤثر على سرية البيانات، ويبقى احتمال الفقدان نفسه قائماً."/>
    <n v="2"/>
    <s v="مع التشفير ومنع التخزين المحلي ينخفض الأثر إلى تعطيل عمل موظف واحد دون انكشاف بيانات."/>
    <n v="4"/>
    <s v="منخفض"/>
    <s v="مرتبط بالحادثة INC-2025-011 والفجوة G-08؛ مؤشر الأداء: نسبة الأجهزة المشفرة."/>
  </r>
  <r>
    <s v="R-008"/>
    <s v="البيانات التقنية والأمنية"/>
    <s v="الشهادات الرقمية ومفاتيح التشفير لموقع البنك وبوابة آفاق نت"/>
    <s v="انتهاء صلاحية الشهادات الرقمية (SSL/TLS) أو إساءة إدارة مفاتيح التشفير بما يعطل الخدمات أو يفك تشفير الاتصالات"/>
    <s v="عدم وجود سجل مركزي للشهادات الرقمية ولا نظام آلي للتنبيه قبل انتهاء الصلاحية (سبب الحادثة INC-2026-004)"/>
    <s v="توافر (A)"/>
    <s v="مدير قسم البنية التحتية والشبكات"/>
    <s v="متابعة يدوية غير منتظمة لتواريخ الانتهاء من قبل فريق البنية التحتية"/>
    <n v="3"/>
    <s v="وقعت الحادثة فعلاً قبل 6 أشهر واستمرت 4 ساعات؛ والمتابعة ما زالت يدوية جزئياً رغم بدء تنفيذ السجل المركزي."/>
    <n v="3"/>
    <s v="ظهور تحذيرات أمنية للعملاء وأثر سمعة واسع استغرق أسبوعاً لمعالجته، مع خسائر 1 إلى 5 ملايين ريال واحتمال ملاحظات رقابية."/>
    <n v="9"/>
    <s v="متوسط"/>
    <s v="التخفيف"/>
    <s v="1) إنشاء سجل مركزي لجميع الشهادات الرقمية ومفاتيح التشفير مع مالك محدد لكل شهادة. 2) تنبيه آلي قبل 60 و30 و7 أيام من انتهاء الصلاحية. 3) أتمتة تجديد الشهادات الداخلية عبر خدمات الشهادات المؤسسية. 4) إدراج الشهادات في قائمة المراجعة الشهرية للعمليات."/>
    <s v="A.8.24، A.5.9، A.5.37، A.8.16"/>
    <n v="90000"/>
    <s v="مدير قسم البنية التحتية والشبكات"/>
    <s v="2026-09-30"/>
    <n v="1"/>
    <s v="مكتمل"/>
    <n v="1"/>
    <s v="الأتمتة والتنبيهات المتدرجة تجعل انتهاء صلاحية شهادة دون انتباه أمراً نادر الحدوث جداً."/>
    <n v="3"/>
    <s v="يبقى الأثر متوسطاً في حال فشل عملية تجديد محددة بسبب أثره المباشر على ثقة العملاء."/>
    <n v="3"/>
    <s v="منخفض"/>
    <s v="مرتبط بالحادثة INC-2026-004؛ يُقاس بمؤشر: عدد الشهادات المنتهية دون تجديد (المستهدف صفر)."/>
  </r>
  <r>
    <s v="R-009"/>
    <s v="أنظمة أمن المعلومات"/>
    <s v="جدار الحماية الرئيسي وقنوات الخدمات المصرفية الرقمية ووثائق الشبكة"/>
    <s v="خطأ بشري أثناء تنفيذ تغييرات على إعدادات الشبكة أو جدار الحماية يؤدي إلى انقطاع الخدمات المصرفية الرقمية"/>
    <s v="عدم وجود مراجعة ثنائية (Four-Eyes) للتغييرات الحرجة، وغياب خطة تراجع سريعة، وضعف مراقبة أداء وتوافر التطبيقات (فجوة G-07)"/>
    <s v="سلامة وتوافر (IA)"/>
    <s v="مدير قسم البنية التحتية والشبكات"/>
    <s v="إجراءات تغيير موثقة جزئياً، وبيئة اختبار منفصلة، ونسخ احتياطي لتكوينات الأجهزة"/>
    <n v="3"/>
    <s v="وقع الحادث الأكبر قبل عامين (INC-2024-001) واستمر 3 ساعات في ذروة فترة الرواتب؛ التغييرات الحرجة ما زالت تنفذ بوتيرة عالية مع توسع الخدمات."/>
    <n v="5"/>
    <s v="انقطاع كامل للقنوات الرقمية لأكثر من 500,000 عميل، وأكثر من 5,000 شكوى، وخسائر تتجاوز 25 مليون ريال مع تدخل رقابي محتمل من ساما."/>
    <n v="15"/>
    <s v="مرتفع"/>
    <s v="التخفيف"/>
    <s v="1) فرض مراجعة ثنائية إلزامية واعتماد مسبق لأي تغيير على أجهزة الشبكة وجدران الحماية. 2) توثيق خطة تراجع (Rollback) واختبارها لكل تغيير حرج. 3) مراقبة لحظية لتوافر التطبيقات الرئيسية مع تنبيه خلال دقيقة. 4) تنفيذ التغييرات الحرجة خارج أوقات الذروة ووفق نافذة تغيير معتمدة."/>
    <s v="A.8.32، A.8.20، A.8.21، A.5.37، A.8.16"/>
    <n v="450000"/>
    <s v="مدير إدارة تقنية المعلومات"/>
    <s v="2026-10-31"/>
    <n v="0.8"/>
    <s v="قيد التنفيذ"/>
    <n v="1"/>
    <s v="المراجعة الثنائية وخطة التراجع ونوافذ التغيير تجعل تكرار خطأ مماثل نادر الحدوث جداً."/>
    <n v="4"/>
    <s v="يبقى أثر أي انقطاع غير متوقع كبيراً لاعتماد جميع الخدمات المصرفية على الشبكة."/>
    <n v="4"/>
    <s v="منخفض"/>
    <s v="مرتبط بالحادثة INC-2024-001 والفجوة G-07؛ الدروس المستفادة موثقة الآن ضمن إجراء إدارة التغيير."/>
  </r>
  <r>
    <s v="R-010"/>
    <s v="التطبيقات المصرفية"/>
    <s v="القنوات الرقمية (آفاق بلس وآفاق نت) ونظام الدفعات الفورية وروابط الاتصال"/>
    <s v="هجوم حجب الخدمة الموزع (DDoS) يعطّل الخدمات المصرفية الرقمية وشبكة المدفوعات الفورية"/>
    <s v="عدم وجود خدمة تنظيف حركة مرور (Scrubbing) مخصصة، واعتماد الحماية على جدران الحماية وحدود النطاق الترددي للمزود"/>
    <s v="توافر (A)"/>
    <s v="مدير إدارة تقنية المعلومات"/>
    <s v="روابط اتصال مزدوجة مع مزود الإنترنت، وجدار حماية بخاصية منع التسلل، ومراقبة يدوية لحجم الحركة"/>
    <n v="4"/>
    <s v="هجمات DDoS على البنوك الرقمية في المنطقة متكررة، والبنك يعتمد كلياً على القنوات الرقمية في تجربة العميل، والحماية الحالية غير متخصصة."/>
    <n v="4"/>
    <s v="تعطل القنوات الرقمية لساعات في أوقات الذروة بخسائر 5 إلى 25 مليون ريال، وفقدان ثقة العملاء، واحتمال ملاحظات من ساما بشأن التوافر."/>
    <n v="16"/>
    <s v="حرج"/>
    <s v="التخفيف"/>
    <s v="1) التعاقد مع خدمة تنظيف حركة مرور (DDoS Scrubbing) مع مزود متخصص. 2) توزيع الحمل واستخدام CDN للمحتوى الثابت. 3) خطة استجابة محددة لسيناريو DDoS ضمن BCP مع اختبار سنوي. 4) اتفاقية مستوى خدمة مع STC لضمان سعة احتياطية."/>
    <s v="A.8.6، A.8.14، A.5.29، A.5.30، A.8.20"/>
    <n v="1350000"/>
    <s v="مدير قسم البنية التحتية والشبكات"/>
    <s v="2026-12-31"/>
    <n v="0.25"/>
    <s v="قيد التنفيذ"/>
    <n v="3"/>
    <s v="خدمة التنظيف وتوزيع الحمل تخفضان الاحتمالية، لكن تبقى البنوك الرقمية هدفاً مستمراً لهجمات واسعة النطاق قد تتجاوز السعة المتعاقد عليها."/>
    <n v="4"/>
    <s v="يبقى الأثر كبيراً في حال هجوم يفوق سعة التنظيف، وإن تحوّل الانقطاع الكامل إلى تعطيل جزئي ومؤقت لبعض الخدمات."/>
    <n v="12"/>
    <s v="مرتفع"/>
    <s v="خطر متبقٍ مرتفع (12) مقبول من لجنة المخاطر بتاريخ 2026-04-12 مع مراقبة شهرية وتنبيه فوري لأي هجوم يتجاوز سعة التنظيف؛ مرتبط بسيناريو BCP-02."/>
  </r>
  <r>
    <s v="R-011"/>
    <s v="البنية التحتية والأجهزة"/>
    <s v="خادم النسخ الاحتياطي ومكتبة الأشرطة وأنظمة التخزين المركزية"/>
    <s v="فشل النسخ الاحتياطي أو عدم قابلية الاستعادة عند الحاجة إليها بسبب أخطاء تشغيلية أو تلف وسائط أو إصابة النسخ"/>
    <s v="عدم إجراء اختبارات استعادة دورية موثقة، وارتباط خادم النسخ الاحتياطي بالشبكة دون عزل، ومراقبة يدوية لنجاح مهام النسخ"/>
    <s v="سلامة وتوافر (IA)"/>
    <s v="مدير قسم البنية التحتية والشبكات"/>
    <s v="جدول نسخ احتياطي يومي عبر Veritas NetBackup، ونقل أشرطة أسبوعي إلى موقع خارجي في جدة، ومراجعة يدوية لسجلات المهام"/>
    <n v="2"/>
    <s v="النسخ يُنفذ يومياً بنجاح بنسبة 97% ولم تُسجل حالة فشل شامل سابقة، لكن غياب اختبارات الاستعادة الدورية يُبقي احتمال الفشل غير المكتشف قائماً."/>
    <n v="5"/>
    <s v="فقدان بيانات العملاء أو المعاملات غير قابل للاستعادة يعني خسائر تتجاوز 25 مليون ريال وعقوبات رقابية مشددة وتهديداً لاستمرارية البنك."/>
    <n v="10"/>
    <s v="متوسط"/>
    <s v="التخفيف"/>
    <s v="1) اختبار استعادة كامل ربع سنوي موثق النتائج لقواعد البيانات الحرجة. 2) تفعيل نسخ غير قابلة للتعديل (Immutable) ومعزولة عن نطاق AD. 3) تنبيه آلي فوري عند فشل أي مهمة نسخ ومتابعة يومية من SOC. 4) تدوير وسائط الأشرطة واستبدالها وفق دورة حياة معتمدة."/>
    <s v="A.8.13، A.8.14، A.5.30، A.8.16"/>
    <n v="780000"/>
    <s v="مدير قسم البنية التحتية والشبكات"/>
    <s v="2026-12-31"/>
    <n v="0.45"/>
    <s v="قيد التنفيذ"/>
    <n v="1"/>
    <s v="اختبارات الاستعادة الربع سنوية والنسخ المعزولة تجعل فشل الاستعادة نادر الحدوث جداً."/>
    <n v="4"/>
    <s v="يبقى الأثر كبيراً في سيناريو الفشل الجزئي رغم الضوابط لأهمية البيانات المنسوخة."/>
    <n v="4"/>
    <s v="منخفض"/>
    <s v="مرتبط بهدف زمن الاستعادة (RTO) وهدف نقطة الاستعادة (RPO) في خطة BCP/DR ومؤشر نجاح النسخ الاحتياطي."/>
  </r>
  <r>
    <s v="R-012"/>
    <s v="المرافق والأمن المادي"/>
    <s v="مركز البيانات الرئيسي والبنية التحتية للمرافق والخوادم الفعلية"/>
    <s v="كارثة مادية (حريق، فشل تكييف، انقطاع طاقة مطوّل، تسرب مياه) تعطل مركز البيانات الرئيسي في الرياض"/>
    <s v="اعتماد العمليات على موقع واحد رئيسي، وصيانة وقائية ربع سنوية فقط للمولدات، وعدم اختبار خطة الانتقال إلى مركز التعافي بجدة خلال آخر 12 شهراً"/>
    <s v="توافر (A)"/>
    <s v="مدير إدارة المرافق والخدمات العامة"/>
    <s v="أنظمة UPS ومولدات احتياطية وتكييف دقيق وأنظمة إخماد حريق، ومركز تعافي من الكوارث في جدة، وروابط مزدوجة"/>
    <n v="2"/>
    <s v="مركز البيانات من المستوى الثالث (Tier III) مع مرافق redundant، ولم تُسجل حوادث مادية جوهرية سابقاً؛ يبقى احتمال الحريق أو فشل الطاقة قائماً."/>
    <n v="5"/>
    <s v="تعطل جميع الأنظمة المصرفية وخسائر تتجاوز 25 مليون ريال يومياً، مع التزام بالإبلاغ الفوري لساما وأثر سمعة جسيم."/>
    <n v="10"/>
    <s v="متوسط"/>
    <s v="التخفيف"/>
    <s v="1) اختبار شامل للانتقال إلى مركز التعافي بجدة مرة سنوياً موثق النتائج. 2) رفع الصيانة الوقائية للمولدات وUPS إلى شهرية مع اختبار حِمل فعلي. 3) تحديث تحليل أثر الأعمال (BIA) واعتماد أهداف RTO/RPO. 4) تأمين المرافق ضد الكوارث ضمن وثيقة التأمين الشاملة."/>
    <s v="A.5.29، A.5.30، A.7.5، A.7.11، A.8.14"/>
    <n v="650000"/>
    <s v="مدير إدارة تقنية المعلومات"/>
    <s v="2026-11-30"/>
    <n v="0.55000000000000004"/>
    <s v="قيد التنفيذ"/>
    <n v="1"/>
    <s v="وجود مركز تعافي جغرافياً معزولاً ومُختبر يجعل تحقق الأثر الكامل للكارثة نادر الحدوث جداً."/>
    <n v="4"/>
    <s v="يبقى أثر الانتقال نفسه كبيراً خلال نافذة الاستعادة حتى اكتمال رفع قدرات مركز جدة."/>
    <n v="4"/>
    <s v="منخفض"/>
    <s v="مرتبط بسيناريوهات BCP-01 وBCP-07 ومؤشر: نجاح اختبار التعافي السنوي."/>
  </r>
  <r>
    <s v="R-013"/>
    <s v="الموردون والخدمات الخارجية"/>
    <s v="شركة تطوير تطبيقات الهاتف المتعاقد معها لتطوير جزء من تطبيق آفاق بلس"/>
    <s v="اختراق بيئة المورد أو إساءة استخدامه لصلاحياته بما يؤدي إلى تسريب الكود المصدري أو إدخال ثغرات أو أبواب خلفية في تطبيق آفاق بلس"/>
    <s v="منح المطورين الخارجيين وصولاً إلى مستودع الكود وبيئة الاختبار دون متطلبات أمنية تعاقدية مفصلة، واستخدام بيانات حقيقية في الاختبار (فجوة G-04)"/>
    <s v="سرية وسلامة (CI)"/>
    <s v="إدارة المشتريات والعقود"/>
    <s v="اتفاقية سرية (NDA)، وحسابات مطورين مخصصة في GitLab، ومراجعة كود داخلية قبل الدمج"/>
    <n v="3"/>
    <s v="للمورد وصول فعلي ومستمر إلى الكود المصدري للتطبيق الأهم لدى البنك، وهجمات سلسلة التوريد على القطاع المالي في تزايد."/>
    <n v="4"/>
    <s v="تسريب الكود المصدري أو إدخال ثغرة متعمدة يعرّض بيانات 500,000 عميل للخطر بخسائر 5 إلى 25 مليون ريال وغرامات تنظيمية."/>
    <n v="12"/>
    <s v="مرتفع"/>
    <s v="التخفيف"/>
    <s v="1) تحديث العقد ليشمل متطلبات أمن المعلومات وحق التدقيق والإبلاغ عن الحوادث خلال 24 ساعة. 2) تقييم أمني للمورد قبل التجديد ومراجعة سنوية. 3) تقييد وصول المورد على مستودع الكود بأقل الصلاحيات وMFA وتسجيل الجلسات. 4) منع استخدام بيانات حقيقية في بيئة الاختبار وتوفير بيانات اصطناعية."/>
    <s v="A.5.19، A.5.20، A.5.21، A.5.22، A.8.30"/>
    <n v="300000"/>
    <s v="مدير إدارة أمن المعلومات"/>
    <s v="2026-11-30"/>
    <n v="0.5"/>
    <s v="قيد التنفيذ"/>
    <n v="2"/>
    <s v="المتطلبات التعاقدية والتقييم الأمني وتقييد الوصول تخفض الاحتمالية إلى مستوى نادر."/>
    <n v="4"/>
    <s v="يبقى الأثر كبيراً لاحتمال وصول المورد إلى الكود المصدري الحساس رغم الضوابط."/>
    <n v="8"/>
    <s v="متوسط"/>
    <s v="مرتبط بمخاطر سلسلة التوريد (R-028) وبنتيجة التدقيق (ملاحظة OFI-03) حول اكتمال سجل الموردين."/>
  </r>
  <r>
    <s v="R-014"/>
    <s v="الموردون والخدمات الخارجية"/>
    <s v="الخدمة السحابية (AWS) المستضافة عليها الأنظمة غير الحرجة ومنصة Qualys"/>
    <s v="سوء تكوين موارد السحابة من قبل البنك أو انقطاع خدمة المزود بما يعطل الأنظمة غير الحرجة أو يكشف بيانات محدودة"/>
    <s v="عدم وجود مراجعة دورية لتكوينات السحابة وفق خط أساس معتمد، واعتماد نموذج المسؤولية المشتركة دون توثيق تفصيلي للمسؤوليات"/>
    <s v="سرية وتوافر (CA)"/>
    <s v="مدير إدارة تقنية المعلومات"/>
    <s v="حساب AWS ضمن تنظيم البنك مع صلاحيات IAM مقيدة، ونسخ احتياطي لبعض الموارد، ومراقبة فواتير واستخدام"/>
    <n v="2"/>
    <s v="لا تُستضاف بيانات عملاء إنتاجية على السحابة، والاستخدام محدود بمنصة الفحص وبيئات تطوير، مع صلاحيات IAM مقيدة."/>
    <n v="3"/>
    <s v="تعطل أدوات الفحص وبيئات التطوير يؤخر المشاريع والإصدارات بخسائر 1 إلى 5 ملايين ريال وأثر تشغيلي محدود."/>
    <n v="6"/>
    <s v="متوسط"/>
    <s v="التخفيف"/>
    <s v="1) اعتماد خط أساس لتكوينات AWS ومراجعته آلياً شهرياً. 2) توثيق نموذج المسؤولية المشتركة وتوزيع المهام. 3) تفعيل MFA على حساب root وحسابات IAM الإدارية. 4) تفعيل تسجيل CloudTrail ومراجعة السجلات ضمن SOC."/>
    <s v="A.5.23، A.8.9، A.5.20، A.8.2"/>
    <n v="120000"/>
    <s v="مدير قسم البنية التحتية والشبكات"/>
    <s v="2026-12-31"/>
    <n v="0.3"/>
    <s v="قيد التنفيذ"/>
    <n v="1"/>
    <s v="المراجعة الآلية وخط الأساس يجعلان سوء التكوين غير المكتشف نادر الحدوث جداً."/>
    <n v="3"/>
    <s v="يبقى الأثر متوسطاً لاعتماد أدوات أمنية وتشغيلية على الخدمة."/>
    <n v="3"/>
    <s v="منخفض"/>
    <s v="خارج النطاق الإنتاجي الحرج؛ يظل مشمولاً في ISMS ضمن مسؤولية أمن مشتركة موثقة."/>
  </r>
  <r>
    <s v="R-015"/>
    <s v="البيانات التقنية والأمنية"/>
    <s v="بيئات التطوير والاختبار ومستودع البيانات والكود المصدري"/>
    <s v="تسريب بيانات عملاء حقيقية مستخدمة في بيئات الاختبار أو التطوير أو انكشافها على مطورين غير مخولين"/>
    <s v="استخدام بيانات حقيقية في بيئة الاختبار، وعدم كفاية فصل بيئات التطوير والاختبار والإنتاج، وغياب آلية إخفاء البيانات (فجوة G-04)"/>
    <s v="سرية (C)"/>
    <s v="رئيس قسم تطوير البرمجيات"/>
    <s v="فصل منطقي جزئي للبيئات على VMware، وصلاحيات مقيدة على مستودع الكود، واتفاقيات سرية مع المطورين"/>
    <n v="4"/>
    <s v="الممارسة قائمة فعلياً في بيئات الاختبار حالياً، وعدد المطورين 25 إضافة إلى مطوري المورد الخارجي، مما يوسع دائرة الوصول."/>
    <n v="3"/>
    <s v="انكشاف بيانات شخصية ومصرفية لعملاء في بيئة أقل حماية يوجب إبلاغ سدايا بخسائر 1 إلى 5 ملايين ريال وأثر سمعة."/>
    <n v="12"/>
    <s v="مرتفع"/>
    <s v="التجنب"/>
    <s v="التخلص من مصدر الخطر بمنع استخدام أي بيانات عملاء حقيقية في بيئات التطوير والاختبار نهائياً، وذلك عبر: 1) إنشاء مجموعة بيانات اختبار اصطناعية (Synthetic) لجميع بيئات الاختبار. 2) تطبيق إخفاء البيانات (Data Masking) على أي نسخة من مستودع البيانات. 3) فصل شبكي كامل بين بيئات التطوير والاختبار والإنتاج ومنع نسخ البيانات بينها. 4) حظر تقني لنقل بيانات الإنتاج إلى البيئات الأدنى."/>
    <s v="A.8.33، A.8.31، A.8.11، A.8.22"/>
    <n v="380000"/>
    <s v="رئيس قسم تطوير البرمجيات"/>
    <s v="2026-12-31"/>
    <n v="0.35"/>
    <s v="قيد التنفيذ"/>
    <n v="2"/>
    <s v="البيانات الاصطناعية والفصل الشبكي يخفضان الاحتمالية إلى مستوى نادر."/>
    <n v="2"/>
    <s v="يتحول الأثر إلى انكشاف بيانات مجهولة أو اصطناعية منخفضة الحساسية."/>
    <n v="4"/>
    <s v="منخفض"/>
    <s v="مرتبط بالفجوة G-04 والضوابط A.8.11 وA.8.31 وA.8.33 وحالة عدم المطابقة NC-03 في التدقيق الداخلي."/>
  </r>
  <r>
    <s v="R-016"/>
    <s v="البيانات التقنية والأمنية"/>
    <s v="الحسابات الإدارية وقواعد بيانات العملاء والمعاملات"/>
    <s v="تهديد داخلي: إساءة استخدام موظف حالي أو سابق لصلاحياته لسرقة أو تعديل بيانات العملاء أو المعاملات المالية"/>
    <s v="صلاحيات إدارية واسعة غير مقيدة بمبدأ الحد الأدنى، ومشاركة كلمات المرور، وغياب مراقبة سلوكية للمستخدمين المميّزين"/>
    <s v="سرية وسلامة (CI)"/>
    <s v="مدير إدارة أمن المعلومات"/>
    <s v="اتفاقيات سرية، وفحص أمني قبل التوظيف لبعض الوظائف، وسجلات دخول، وإجراءات تأديبية معتمدة"/>
    <n v="3"/>
    <s v="عدد الموظفين 2,500 مع دوران 12% في تقنية المعلومات، والصلاحيات الإدارية واسعة حالياً؛ لا توجد سوابق مؤكدة لكن الحوافز قائمة في القطاع."/>
    <n v="4"/>
    <s v="سرقة أو تعديل بيانات عملاء ومعاملات بخسائر 5 إلى 25 مليون ريال، وغرامات، وأثر سمعة جسيم على بنك رقمي."/>
    <n v="12"/>
    <s v="مرتفع"/>
    <s v="التخفيف"/>
    <s v="1) تطبيق مبدأ الحد الأدنى من الصلاحيات ومراجعة ربع سنوية. 2) تشغيل PAM مع تسجيل جلسات الوصول المميّز. 3) تنبيهات على الاستعلامات غير الاعتيادية على قواعد بيانات العملاء (مثل استخراج دفعات كبيرة). 4) تفعيل إجراء إنهاء الخدمة وسحب الصلاحيات خلال 4 ساعات."/>
    <s v="A.5.3، A.5.18، A.8.2، A.6.5، A.8.16"/>
    <n v="260000"/>
    <s v="مدير إدارة أمن المعلومات"/>
    <s v="2027-01-31"/>
    <n v="0.4"/>
    <s v="قيد التنفيذ"/>
    <n v="2"/>
    <s v="تسجيل الجلسات والتنبيهات السلوكية تجعل إساءة الاستخدام دون اكتشاف أمراً نادراً."/>
    <n v="4"/>
    <s v="يبقى الأثر كبيراً لطبيعة البيانات المتاحة للموظفين المميّزين."/>
    <n v="8"/>
    <s v="متوسط"/>
    <s v="مرتبط بـR-005 وR-006؛ يشمل ضوابط الموارد البشرية A.6.1 وA.6.5 وA.6.6."/>
  </r>
  <r>
    <s v="R-017"/>
    <s v="أنظمة دعم الأعمال"/>
    <s v="نظام الرواتب القديم (سيبيرولا - Legacy) وقاعدة بيانات الموارد البشرية"/>
    <s v="تعطل نظام الرواتب القديم أو استغلال ثغراته بسبب انتهاء دعم المورد وعدم توافقه مع معايير التشفير الحديثة"/>
    <s v="نظام موروث لا يتلقى تحديثات أمنية منتظمة، وتكامله مع أنظمة حديثة عبر واجهات غير موثقة، وخطة الاستبدال تمتد لسنتين"/>
    <s v="سلامة وتوافر (IA)"/>
    <s v="مدير إدارة الموارد البشرية"/>
    <s v="عزل النظام في شبكة فرعية منفصلة، ونسخ احتياطي يومي، ووصول مقيد لفريق الرواتب"/>
    <n v="3"/>
    <s v="النظام قديم وغير مدعوم بالكامل، ويعالج رواتب 2,500 موظف شهرياً، والاستبدال لن يكتمل قبل 2028."/>
    <n v="4"/>
    <s v="تعطل صرف الرواتب في موعده يمس التزامات البنك النظامية تجاه موظفيه بخسائر 5 إلى 25 مليون ريال وأثر سمعة داخلي وخارجي."/>
    <n v="12"/>
    <s v="مرتفع"/>
    <s v="التخفيف"/>
    <s v="1) تسريع مشروع استبدال النظام مع مرحلة انتقالية مزدوجة. 2) دعم ممتد من المورد بعقد صيانة أمنية حتى الاستبدال. 3) عزل إضافي للنظام ومراقبة حركة الاتصالات الصادرة منه. 4) إجراء تحويل رواتب بديل يدوي موثق ضمن BCP."/>
    <s v="A.5.37، A.8.8، A.5.29، A.8.20"/>
    <n v="1800000"/>
    <s v="مدير إدارة الموارد البشرية"/>
    <s v="2027-06-30"/>
    <n v="0.15"/>
    <s v="قيد التنفيذ"/>
    <n v="3"/>
    <s v="يبقى النظام قيد التشغيل حتى الاستبدال مع ضوابط تعويضية محدودة الفعالية."/>
    <n v="4"/>
    <s v="أثر تعطل صرف الرواتب كبير ولا يمكن تخفيضه قبل اكتمال الاستبدال."/>
    <n v="12"/>
    <s v="مرتفع"/>
    <s v="خطر متبقٍ مرتفع (12) مقبول من لجنة المخاطر حتى 2027-06-30 مع مراجعة نصف سنوية؛ أحد مبررات عدم اكتمال الضابط A.8.8."/>
  </r>
  <r>
    <s v="R-018"/>
    <s v="البيانات التنظيمية والحوكمة"/>
    <s v="الوثائق التنظيمية ومراسلات الجهات الرقابية وخطط استمرارية الأعمال"/>
    <s v="عدم الامتثال لمتطلبات البنك المركزي السعودي (ساما) والهيئة الوطنية للأمن السيبراني والإبلاغ عن الحوادث في الوقت النظامي"/>
    <s v="عدم وجود سجل موحد ومحدَّث للمتطلبات القانونية والتنظيمية والتعاقدية، وتأخر ربط متطلبات ساما بالضوابط المنفذة (فجوة G-01 سابقاً)"/>
    <s v="سلامة (I)"/>
    <s v="مدير إدارة الالتزام والحوكمة"/>
    <s v="متابعة من إدارة الالتزام، وتعيين مسؤول اتصال مع ساما، وتقارير امتثال دورية"/>
    <n v="2"/>
    <s v="البنك ملتزم تاريخياً بمتطلبات ساما، وأُنشئ الآن سجل موحد للمتطلبات ضمن ISMS؛ يبقى احتمال تأخر الإبلاغ عن حادث كبير قائماً."/>
    <n v="5"/>
    <s v="عقوبات مالية مشددة من ساما قد تتضمن إيقاف نشاط أو غرامات تتجاوز 25 مليون ريال وأثر سمعة حاد على بنك رقمي."/>
    <n v="10"/>
    <s v="متوسط"/>
    <s v="التخفيف"/>
    <s v="1) إنشاء سجل موحد للمتطلبات القانونية والتنظيمية والتعاقدية مع مراجعة نصف سنوية. 2) إجراء إلزامي للإبلاغ عن الحوادث لساما خلال المدة النظامية مع قائمة اتصال جاهزة. 3) مصفوفة ربط متطلبات ساما بضوابط ISO 27001 والملحق A. 4) تدريب فريق الاستجابة على متطلبات الإبلاغ."/>
    <s v="A.5.31، A.5.5، A.5.36، A.5.24"/>
    <n v="150000"/>
    <s v="مدير إدارة الالتزام والحوكمة"/>
    <s v="2026-10-31"/>
    <n v="0.8"/>
    <s v="قيد التنفيذ"/>
    <n v="1"/>
    <s v="السجل الموحد والإجراء المعتمد وقائمة الاتصال تجعل التأخر في الإبلاغ نادر الحدوث جداً."/>
    <n v="4"/>
    <s v="يبقى أثر أي ملاحظة رقابية جوهرية كبيراً لطبيعة القطاع المصرفي."/>
    <n v="4"/>
    <s v="منخفض"/>
    <s v="مرتبط بمتطلبات ساما في القسم 5.2 من دراسة الحالة وبالضابط A.5.36."/>
  </r>
  <r>
    <s v="R-019"/>
    <s v="بيانات العملاء"/>
    <s v="قواعد بيانات العملاء والبيانات البيومترية وسجلات التواصل وبيانات الموظفين"/>
    <s v="خرق لنظام حماية البيانات الشخصية نتيجة معالجة أو نقل أو حفظ غير نظامي للبيانات الشخصية أو عدم الاستجابة لطلبات أصحاب البيانات"/>
    <s v="عدم وجود آلية مؤتمتة لاستقبال ومعالجة طلبات أصحاب البيانات (الوصول، التصحيح، الحذف)، وتعدد أماكن تخزين البيانات الشخصية دون سجل معالجة موحد"/>
    <s v="سرية (C)"/>
    <s v="مدير إدارة الشؤون القانونية"/>
    <s v="سياسة خصوصية معلنة، ونموذج طلب يدوي لدى خدمة العملاء، واتفاقيات معالجة مع الموردين"/>
    <n v="3"/>
    <s v="حجم البيانات الشخصية ضخم (500,000 عميل + 2,500 موظف + متقاعدون)، والآلية الحالية يدوية وبطيئة مما يرفع خطر تجاوز المدد النظامية."/>
    <n v="5"/>
    <s v="غرامات مشددة من سدايا وأوامر بإيقاف معالجة، وخسائر تتجاوز 25 مليون ريال، وأزمة ثقة لدى العملاء."/>
    <n v="15"/>
    <s v="مرتفع"/>
    <s v="التخفيف"/>
    <s v="1) إنشاء سجل أنشطة المعالجة (RoPA) لجميع مجموعات البيانات الشخصية. 2) أتمتة قناة استقبال طلبات أصحاب البيانات والرد ضمن 30 يوماً. 3) تعيين مسؤول حماية البيانات الشخصية (DPO) وتحديد مسؤولياته. 4) مراجعة عقود الموردين لتتضمن بنود حماية البيانات الشخصية."/>
    <s v="A.5.34، A.5.31، A.5.33، A.5.20"/>
    <n v="280000"/>
    <s v="مدير إدارة الشؤون القانونية"/>
    <s v="2026-12-31"/>
    <n v="0.55000000000000004"/>
    <s v="قيد التنفيذ"/>
    <n v="2"/>
    <s v="سجل المعالجة والأتمتة وتعيين مسؤول حماية البيانات تخفض الاحتمالية إلى مستوى نادر."/>
    <n v="4"/>
    <s v="يبقى الأثر كبيراً نظراً لحجم البيانات الشخصية وحساسية القطاع."/>
    <n v="8"/>
    <s v="متوسط"/>
    <s v="مرتبط بالحادثة INC-2025-011 وبمتطلبات سدايا؛ يُقاس بمؤشر: نسبة الرد على الطلبات ضمن المدة النظامية."/>
  </r>
  <r>
    <s v="R-020"/>
    <s v="البنية التحتية والأجهزة"/>
    <s v="أجهزة الصراف الآلي (150 جهازاً) وأجهزة الإيداع ونظام إدارة البطاقات"/>
    <s v="عبث مادي أو برمجي بأجهزة الصراف الآلي (تثبيت أجهزة نسخ بطاقات Skimming أو برمجيات خبيثة) لسرقة بيانات البطاقات والأرقام السرية"/>
    <s v="انتشار الأجهزة في 75 موقعاً مستقلاً غير خاضع لحراسة دائمة، وصيانتها عبر مورد خارجي دون إشراف مستمر، وتحديثات برمجية غير منتظمة"/>
    <s v="سرية وسلامة (CI)"/>
    <s v="مدير إدارة العمليات المصرفية"/>
    <s v="أقفال مادية وكاميرات مراقبة في الفروع، وتفتيش دوري من فرق الفروع، ومكافحة برمجيات خبيثة على الأجهزة، ونظام كشف الاحتيال"/>
    <n v="2"/>
    <s v="توجد ضوابط مادية ومراقبة احتيالية، ولم تُسجل حوادث skimming جوهرية؛ يبقى احتمال الاستهداف قائماً في المواقع المستقلة."/>
    <n v="4"/>
    <s v="سرقة بيانات بطاقات يترتب عليه التزامات PCI DSS وتعويضات عملاء بخسائر 5 إلى 25 مليون ريال وأثر سمعة كبير."/>
    <n v="8"/>
    <s v="متوسط"/>
    <s v="التخفيف"/>
    <s v="1) تفتيش مادي أسبوعي موثق لجميع الأجهزة المستقلة مع قائمة تحقق مضادة للعبث. 2) إلزام مورد الصيانة بمرافقة موظف من البنك عند أي تدخل وتسجيله. 3) تفعيل تحديثات برمجية شهرية للأجهزة ومراقبة سلامة النظام. 4) تشفير بيانات البطاقات من الطرف للطرف (E2EE) وتقنية EMV."/>
    <s v="A.7.4، A.7.8، A.7.9، A.5.20، A.8.24"/>
    <n v="420000"/>
    <s v="مدير إدارة العمليات المصرفية"/>
    <s v="2026-12-31"/>
    <n v="0.3"/>
    <s v="قيد التنفيذ"/>
    <n v="1"/>
    <s v="التفتيش الأسبوعي الموثق والمرافقة الإلزامية تجعل نجاح العبث نادر الحدوث جداً."/>
    <n v="4"/>
    <s v="يبقى أثر أي نجاح في نسخ بيانات البطاقات كبيراً لالتزامات المعايير الدولية."/>
    <n v="4"/>
    <s v="منخفض"/>
    <s v="مرتبط بمتطلبات PCI DSS التعاقدية وبمخاطر الموردين R-013."/>
  </r>
  <r>
    <s v="R-021"/>
    <s v="الموردون والخدمات الخارجية"/>
    <s v="روابط الاتصال وخدمات الاتصالات وأجهزة الشبكة"/>
    <s v="انقطاع خدمات الاتصالات أو الإنترنت من المزود الرئيسي (STC) بما يعطل الفروع والقنوات الرقمية والاتصال بشبكة المدفوعات"/>
    <s v="الاعتماد على مزود رئيسي واحد للإنترنت في معظم المواقع، وعدم اختبار خطوط الاتصال الاحتياطية دورياً"/>
    <s v="توافر (A)"/>
    <s v="مدير قسم البنية التحتية والشبكات"/>
    <s v="روابط مزدوجة بين مركز البيانات ومركز التعافي، وخطوط مؤمنة مع شبكة المدفوعات وساما، ومودمات احتياطية"/>
    <n v="2"/>
    <s v="توجد روابط مزدوجة ومودمات احتياطية؛ انقطاعات المزود السابقة كانت محدودة وقصيرة ولم تُسجل حالة انقطاع شامل."/>
    <n v="4"/>
    <s v="تعطل الفروع والقنوات الرقمية والاتصال بشبكة المدفوعات لخسائر 5 إلى 25 مليون ريال وأثر مباشر على العملاء."/>
    <n v="8"/>
    <s v="متوسط"/>
    <s v="التخفيف"/>
    <s v="1) إضافة مزود إنترنت ثانٍ للمقر الرئيسي والفروع عالية الحركة. 2) اختبار تحويل الاتصال الاحتياطي ربع سنوي موثق. 3) بنود مستوى خدمة (SLA) مع STC تتضمن تعويضات وأولوية استعادة. 4) خطة اتصال بديلة عبر الأقمار الصناعية لمركز التعافي."/>
    <s v="A.5.22، A.8.14، A.8.6، A.5.20"/>
    <n v="900000"/>
    <s v="مدير قسم البنية التحتية والشبكات"/>
    <s v="2027-02-28"/>
    <n v="0"/>
    <s v="لم يبدأ"/>
    <n v="1"/>
    <s v="تعدد المزودين واختبار التحويل يجعل الانقطاع الشامل نادر الحدوث جداً."/>
    <n v="4"/>
    <s v="يبقى الأثر كبيراً في حال تزامن فشل أكثر من رابط."/>
    <n v="4"/>
    <s v="منخفض"/>
    <s v="مرتبط بسيناريو BCP-04 (انقطاع الشبكة) ومتابعة أداء الموردين الشهرية."/>
  </r>
  <r>
    <s v="R-022"/>
    <s v="التطبيقات المصرفية"/>
    <s v="نظام إدارة البطاقات وبيانات اعتماد العملاء ونظام كشف الاحتيال"/>
    <s v="احتيال مالي على حسابات العملاء أو سرقة بيانات البطاقات عبر انتحال الهوية أو استغلال ثغرات في قنوات الدفع"/>
    <s v="قواعد كشف الاحتيال غير محدثة بما يكفي للحالات الجديدة، وعدم وجود مصادقة قوية على جميع عمليات الدفع عالية القيمة"/>
    <s v="سرية وسلامة (CI)"/>
    <s v="مدير إدارة العمليات المصرفية"/>
    <s v="نظام كشف الاحتيال في الوقت الفعلي، وحدود تحويل يومية، ومصادقة متعددة العوامل لعمليات محددة، ومراقبة فريق الاحتيال"/>
    <n v="3"/>
    <s v="أوقف نظام كشف الاحتيال محاولة بقيمة 150,000 ريال سابقاً، لكن أساليب الاحتيال تتطور بسرعة والبنك رقمي بالكامل."/>
    <n v="4"/>
    <s v="خسائر مباشرة وتعويضات عملاء وغرامات من 5 إلى 25 مليون ريال، وأثر سمعة كبير على بنك يعتمد على الثقة الرقمية."/>
    <n v="12"/>
    <s v="مرتفع"/>
    <s v="التخفيف"/>
    <s v="1) تحديث قواعد كشف الاحتيال شهرياً وفق أنماط الاحتيال المستجدة. 2) إلزام المصادقة القوية (SCA) على جميع عمليات الدفع. 3) ربط تنبيهات الاحتيال بـSOC ضمن متابعة موحدة. 4) تحليل دوري لبيانات الاحتيال مع البنوك المراسلة."/>
    <s v="A.5.24، A.8.5، A.8.16، A.5.31"/>
    <n v="520000"/>
    <s v="مدير إدارة العمليات المصرفية"/>
    <s v="2026-11-30"/>
    <n v="0.65"/>
    <s v="قيد التنفيذ"/>
    <n v="2"/>
    <s v="المصادقة القوية وتحديث القواعد الدوري يخفضان نجاح الاحتيال إلى مستوى نادر."/>
    <n v="3"/>
    <s v="يبقى أثر حالات الاحتيال الفردية متوسطاً لتعويض العملاء والأثر السمعة."/>
    <n v="6"/>
    <s v="متوسط"/>
    <s v="مرتبط بالحادثة INC-2025-003 وبمتطلبات مكافحة غسل الأموال."/>
  </r>
  <r>
    <s v="R-023"/>
    <s v="البيانات التقنية والأمنية"/>
    <s v="الكود المصدري لتطبيقات البنك ونظام GitLab Enterprise وجدار الحماية"/>
    <s v="تسريب الكود المصدري لتطبيقات البنك عبر وصول غير مصرح به إلى مستودع GitLab أو تسريب من مطور داخلي أو خارجي"/>
    <s v="عدم تفعيل المصادقة متعددة العوامل على جميع حسابات GitLab، وغياب مراقبة تنزيل الكود بكميات كبيرة، وصلاحيات مطورين واسعة"/>
    <s v="سرية (C)"/>
    <s v="رئيس قسم تطوير البرمجيات"/>
    <s v="صلاحيات مخصصة لكل مطور في GitLab، واتفاقيات سرية، ومراجعة كود داخلية، وجدار حماية يحمي الوصول للمستودع"/>
    <n v="2"/>
    <s v="المستودع داخلي غير مكشوف للإنترنت، وعدد من يملك صلاحية التنزيل الكامل محدود؛ لا توجد سوابق تسريب."/>
    <n v="4"/>
    <s v="كشف الكود يسهّل هجمات موجهة على القنوات الرقمية ويعرّض بيانات العملاء للخطر بخسائر 5 إلى 25 مليون ريال."/>
    <n v="8"/>
    <s v="متوسط"/>
    <s v="التخفيف"/>
    <s v="1) تفعيل MFA إلزامياً على جميع حسابات GitLab. 2) مراقبة وتنبيه عند تنزيل أو استنساخ كميات كبيرة من الكود. 3) مراجعة ربع سنوية لصلاحيات المستودع وسحب صلاحيات المطورين الخارجيين غير النشطين. 4) تشفير النسخ الاحتياطية للمستودع."/>
    <s v="A.8.4، A.5.17، A.8.15، A.5.18"/>
    <n v="95000"/>
    <s v="رئيس قسم تطوير البرمجيات"/>
    <s v="2026-10-31"/>
    <n v="0.7"/>
    <s v="قيد التنفيذ"/>
    <n v="1"/>
    <s v="MFA والمراقبة وسحب الصلاحيات تجعل التسريب نادر الحدوث جداً."/>
    <n v="4"/>
    <s v="يبقى الأثر كبيراً لطبيعة المحتوى المسرّب إن وقع."/>
    <n v="4"/>
    <s v="منخفض"/>
    <s v="مرتبط بمخاطر الموردين R-013 والضابط A.8.4 (الوصول إلى الكود المصدري)."/>
  </r>
  <r>
    <s v="R-024"/>
    <s v="البيانات التقنية والأمنية"/>
    <s v="سجلات الأمان والأحداث وأنظمة IDS/IPS وحل مكافحة البرمجيات الخبيثة"/>
    <s v="تأخر اكتشاف الحوادث الأمنية بسبب التحليل اليدوي للسجلات في غياب نظام SIEM، مما يطيل زمن الاحتواء ويزيد الأثر"/>
    <s v="عدم وجود SIEM ولا ربط آلي للتنبيهات (فجوة G-05)، واعتماد SOC على مراجعة يدوية لسجلات Syslog، وغياب حالات استخدام (Use Cases) موحدة"/>
    <s v="سرية وسلامة وتوافر (CIA)"/>
    <s v="مدير إدارة أمن المعلومات"/>
    <s v="خادم Syslog مركزي لجمع السجلات، و8 محللين في SOC بنظام المناوبات، وتنبيهات من IDS/IPS ومكافحة الفيروسات"/>
    <n v="4"/>
    <s v="التحليل يدوي بالكامل حالياً وحجم السجلات كبير؛ اكتشاف حادثة INC-2024-001 استغرق 45 دقيقة وحادثة التصيد ساعتين."/>
    <n v="4"/>
    <s v="طول زمن الاحتواء يضاعف أثر أي اختراق إلى خسائر 5 إلى 25 مليون ريال، مع ملاحظات رقابية بشأن قدرات المراقبة."/>
    <n v="16"/>
    <s v="حرج"/>
    <s v="التخفيف"/>
    <s v="1) توريد وتشغيل SIEM مع ربط جميع المصادر الحرجة. 2) بناء 25 حالة استخدام للكشف ذات أولوية مصرفية. 3) أتمتة التنبيهات وربطها بنظام التذاكر (Jira). 4) اعتماد مؤشرات زمن الاكتشاف (MTTD) وزمن الاستجابة (MTTR) ومتابعتها شهرياً."/>
    <s v="A.8.15، A.8.16، A.5.25، A.5.26، A.8.17"/>
    <n v="2600000"/>
    <s v="مدير إدارة أمن المعلومات"/>
    <s v="2027-03-31"/>
    <n v="0.3"/>
    <s v="قيد التنفيذ"/>
    <n v="2"/>
    <s v="SIEM والتنبيهات المؤتمتة تخفض احتمال التأخر في الاكتشاف إلى مستوى نادر."/>
    <n v="3"/>
    <s v="يبقى أثر بعض الحوادث المتطورة متوسطاً حتى مع المراقبة الآلية."/>
    <n v="6"/>
    <s v="متوسط"/>
    <s v="فجوة جوهرية (G-05)؛ المشروع الأكبر في ميزانية 2026 ومرتبطة بحالة عدم المطابقة NC-01 في التدقيق الداخلي."/>
  </r>
  <r>
    <s v="R-025"/>
    <s v="بيانات العملاء"/>
    <s v="البيانات البيومترية للعملاء (بصمات الأصابع) وقاعدة بيانات العملاء"/>
    <s v="تسريب أو كشف البيانات البيومترية للعملاء، وهي بيانات غير قابلة للاستبدال وتثير التزامات نظامية مشددة"/>
    <s v="تخزين البيانات البيومترية ضمن بيئة قواعد البيانات العامة دون عزل كافٍ، وغياب تقييم أثر حماية البيانات (DPIA) لهذه المعالجة"/>
    <s v="سرية (C)"/>
    <s v="مدير قسم التطبيقات المصرفية"/>
    <s v="تشفير وحدة التخزين المخصصة، وصلاحيات مقيدة على الجدول البيومتري، ومصادقة قوية للوصول الإداري"/>
    <n v="2"/>
    <s v="الوحدة معزولة ومشفرة وعدد من يملك الوصول إليها محدود جداً؛ لا توجد سوابق انكشاف."/>
    <n v="5"/>
    <s v="تسريب بيانات بيومترية غير قابلة للاستبدال يترتب عليه غرامات مشددة من سدايا ودعاوى جماعية وخسائر تتجاوز 25 مليون ريال."/>
    <n v="10"/>
    <s v="متوسط"/>
    <s v="التخفيف"/>
    <s v="1) إجراء تقييم أثر حماية البيانات (DPIA) لمعالجة البيانات البيومترية. 2) عزل قاعدة البيانات البيومترية في خادم مخصص مع تشفير على مستوى العمود. 3) تحويل البصمات إلى قوالب (Templates) غير قابلة للعكس وعدم تخزين الصور الأصلية. 4) مراجعة سنوية لصلاحيات الوصول."/>
    <s v="A.5.34، A.8.24، A.8.3، A.5.33"/>
    <n v="210000"/>
    <s v="مدير إدارة أمن المعلومات"/>
    <s v="2026-12-31"/>
    <n v="0.45"/>
    <s v="قيد التنفيذ"/>
    <n v="1"/>
    <s v="العزل والتشفير على مستوى العمود وتحويل القوالب يجعل التسريب نادر الحدوث جداً."/>
    <n v="4"/>
    <s v="يبقى الأثر كبيراً لحساسية البيانات البيومترية وطبيعتها غير القابلة للاستبدال."/>
    <n v="4"/>
    <s v="منخفض"/>
    <s v="مرتبط بنظام حماية البيانات الشخصية ومتطلبات سدايا."/>
  </r>
  <r>
    <s v="R-026"/>
    <s v="المرافق والأمن المادي"/>
    <s v="أنظمة الطاقة (UPS والمولدات) والتكييف الدقيق في مراكز البيانات"/>
    <s v="فشل أنظمة الطاقة أو التكييف في مركز البيانات الرئيسي يؤدي إلى إيقاف الخوادم أو تلف المعدات"/>
    <s v="صيانة وقائية ربع سنوية فقط للمولدات وUPS دون اختبار حِمل فعلي، وارتفاع درجات الحرارة الموسمية في الرياض"/>
    <s v="توافر (A)"/>
    <s v="مدير إدارة المرافق والخدمات العامة"/>
    <s v="أنظمة UPS في جميع المواقع الحرجة، ومولدات احتياطية، وتكييف دقيق مزدوج، وأنظمة إنذار ومراقبة بيئية"/>
    <n v="2"/>
    <s v="توجد أنظمة redundant ولم تُسجل حالات فشل مطوّلة؛ يبقى احتمال فشل متزامن قائماً مع الحرارة العالية وقدم بعض المعدات."/>
    <n v="4"/>
    <s v="إيقاف مفاجئ للخوادم قد يسبب فقدان بيانات وتوقف خدمات بخسائر 5 إلى 25 مليون ريال."/>
    <n v="8"/>
    <s v="متوسط"/>
    <s v="النقل"/>
    <s v="نقل مسؤولية التشغيل والصيانة إلى طرف ثالث متخصص بعقد مُلزِم، وذلك عبر: 1) التعاقد مع مقاول متخصص لتشغيل وصيانة أنظمة الطاقة والتكييف بعقد مستوى خدمة (SLA) يتضمن غرامات تأخير واستجابة خلال 4 ساعات، مع الإبقاء على الصيانة الوقائية الشهرية واختبار حِمل فعلي للمولدات كل 3 أشهر. 2) مراقبة بيئية لحظية (حرارة ورطوبة) مع تنبيه آلي لـSOC. 3) استبدال بطاريات UPS وفق دورة حياة معتمدة. 4) خطة إيقاف منظّم (Graceful Shutdown) للأنظمة غير الحرجة."/>
    <s v="A.7.11، A.7.5، A.7.13، A.8.14"/>
    <n v="340000"/>
    <s v="مدير إدارة المرافق والخدمات العامة"/>
    <s v="2026-12-31"/>
    <n v="0.4"/>
    <s v="قيد التنفيذ"/>
    <n v="1"/>
    <s v="الصيانة الشهرية واختبارات الحِمل والمراقبة اللحظية تجعل الفشل غير المعالج نادر الحدوث جداً."/>
    <n v="4"/>
    <s v="يبقى أثر الفشل المفاجئ كبيراً لاعتماد جميع الأنظمة على المرافق."/>
    <n v="4"/>
    <s v="منخفض"/>
    <s v="مرتبط بسيناريو BCP-07 وأصول A-045."/>
  </r>
  <r>
    <s v="R-027"/>
    <s v="البنية التحتية والأجهزة"/>
    <s v="الأجهزة اللوحية والهواتف الذكية المؤسسية (200 جهاز للمدراء والموظفين المتنقلين)"/>
    <s v="فقدان أو اختراق الأجهزة الذكية المؤسسية للمدراء وما تحتويه من بريد ومراسلات ووثائق حساسة"/>
    <s v="عدم تطبيق إدارة الأجهزة المحمولة (MDM) على جميع الأجهزة الذكية، واستخدام بعض المدراء لتطبيقات مراسلة غير مؤسسية لأغراض العمل"/>
    <s v="سرية (C)"/>
    <s v="مدير قسم الدعم الفني"/>
    <s v="كلمات مرور للأجهزة، وMFA للبريد على الأجهزة المسجلة، وسياسة استخدام مقبول معتمدة"/>
    <n v="3"/>
    <s v="الأجهزة متنقلة وتُستخدم خارج المملكة أحياناً، و200 جهاز موزع على المدراء الأكثر اطلاعاً على معلومات حساسة."/>
    <n v="3"/>
    <s v="انكشاف مراسلات ووثائق إدارية حساسة بخسائر 1 إلى 5 ملايين ريال وأثر على سرية قرارات الإدارة العليا."/>
    <n v="9"/>
    <s v="متوسط"/>
    <s v="التخفيف"/>
    <s v="1) إلزام تسجيل جميع الأجهزة الذكية في MDM مع تشفير ومسح عن بُعد. 2) حاوية مؤسسية معزولة لتطبيقات العمل (Containerization). 3) حظر تطبيقات المراسلة غير المعتمدة للبيانات الحساسة. 4) توعية مخصصة للمدراء والتنفيذيين."/>
    <s v="A.8.1، A.6.7، A.5.10، A.7.9"/>
    <n v="160000"/>
    <s v="مدير قسم الدعم الفني"/>
    <s v="2026-11-30"/>
    <n v="0.5"/>
    <s v="قيد التنفيذ"/>
    <n v="2"/>
    <s v="MDM والتشفير والمسح عن بُعد تخفض الاحتمالية إلى مستوى نادر."/>
    <n v="2"/>
    <s v="يتحول الأثر إلى فقد جهاز واحد يمكن مسحه عن بُعد دون انكشاف بيانات."/>
    <n v="4"/>
    <s v="منخفض"/>
    <s v="مرتبط بسياسة الاستخدام المقبول (A05-10-1) وضابط العمل عن بُعد A.6.7."/>
  </r>
  <r>
    <s v="R-028"/>
    <s v="الموردون والخدمات الخارجية"/>
    <s v="الموردون التقنيون ومنتجاتهم (مكافحة الفيروسات، منصة الثغرات، أجهزة الشبكة)"/>
    <s v="هجوم عبر سلسلة التوريد: تحديث أو منتج ملوّث من مورد تقني يؤدي إلى اختراق بيئة البنك"/>
    <s v="عدم فحص سلامة التحديثات الواردة من الموردين، وغياب تقييم أمني دوري لمعظم الموردين التقنيين، واتساع صلاحيات الوصول عن بُعد لبعضهم"/>
    <s v="سرية وسلامة (CI)"/>
    <s v="مدير إدارة أمن المعلومات"/>
    <s v="اتفاقيات سرية وعقود مع الموردين، وتحديثات عبر قنوات رسمية، ووصول عن بُعد مقيد لبعض الموردين"/>
    <n v="2"/>
    <s v="لم تُسجل حوادث سلسلة توريد في البنك؛ لكن تزايد هذه الهجمات عالمياً ووجود وصول عن بُعد لعدة موردين يُبقي الاحتمال قائماً."/>
    <n v="4"/>
    <s v="اختراق عبر مورد موثوق يتجاوز ضوابط الحدود بخسائر 5 إلى 25 مليون ريال ويصعب اكتشافه مبكراً."/>
    <n v="8"/>
    <s v="متوسط"/>
    <s v="التخفيف"/>
    <s v="1) تقييم أمني سنوي لجميع الموردين الحرجين وفق مصفوفة تصنيف الموردين. 2) بنود تعاقدية تلزم المورد بالإبلاغ عن أي حادث خلال 24 ساعة وحق التدقيق. 3) عزل شبكة إدارة الموردين (Vendor VLAN) وتسجيل جميع الجلسات. 4) فحص سلامة التحديثات والتحقق من التوقيعات الرقمية قبل التوزيع."/>
    <s v="A.5.19، A.5.20، A.5.21، A.5.22، A.8.22"/>
    <n v="350000"/>
    <s v="مدير إدارة أمن المعلومات"/>
    <s v="2027-01-31"/>
    <n v="0"/>
    <s v="لم يبدأ"/>
    <n v="1"/>
    <s v="التقييم السنوي والبنود التعاقدية وعزل شبكة الموردين تجعل الاختراق عبر مورد نادر الحدوث جداً."/>
    <n v="4"/>
    <s v="يبقى الأثر كبيراً في حال تحققه لاتساع الثقة الممنوحة للموردين."/>
    <n v="4"/>
    <s v="منخفض"/>
    <s v="مرتبط بـR-013 وR-021 والضوابط A.5.19 حتى A.5.22."/>
  </r>
  <r>
    <s v="R-029"/>
    <s v="البيانات التقنية والأمنية"/>
    <s v="بيئات التطوير والاختبار والإنتاج ونظام GitLab"/>
    <s v="انتقال تغيير غير مختبر أو خاطئ من بيئة التطوير إلى بيئة الإنتاج يعطل الخدمات المصرفية الرقمية"/>
    <s v="عدم كفاية فصل بيئات التطوير والاختبار والإنتاج (فجوة G-04)، ونقص أتمتة الاختبارات الأمنية قبل النشر"/>
    <s v="سلامة وتوافر (IA)"/>
    <s v="رئيس قسم تطوير البرمجيات"/>
    <s v="خوادم افتراضية منفصلة للبيئات الثلاث، وإجراء نشر موثق، واختبار قبول يدوي قبل الإصدار"/>
    <n v="3"/>
    <s v="الفصل منطقي أكثر منه شبكي، و25 مطوراً ينشرون تحديثات متكررة لتطبيق آفاق بلس دون بوابة اختبار أمني آلية."/>
    <n v="3"/>
    <s v="تعطل جزئي للخدمات الرقمية وتأخر الإصدارات بخسائر 1 إلى 5 ملايين ريال وشكاوى عملاء."/>
    <n v="9"/>
    <s v="متوسط"/>
    <s v="التخفيف"/>
    <s v="1) فصل شبكي كامل بين البيئات الثلاث مع قواعد جدار حماية صارمة. 2) أتمتة خط النشر (CI/CD) مع بوابة اختبار أمني إلزامية. 3) منع أي نشر إنتاجي دون موافقة change advisory board. 4) بيئة Staging مطابقة للإنتاج لاختبار القبول."/>
    <s v="A.8.31، A.8.32، A.8.29، A.8.25"/>
    <n v="240000"/>
    <s v="رئيس قسم تطوير البرمجيات"/>
    <s v="2026-12-31"/>
    <n v="0.45"/>
    <s v="قيد التنفيذ"/>
    <n v="2"/>
    <s v="الفصل الشبكي وأتمتة الاختبارات وبوابة الموافقة تخفض الاحتمالية إلى مستوى نادر."/>
    <n v="3"/>
    <s v="يبقى أثر أي عيب يصل للإنتاج متوسطاً لحين التراجع عن التغيير."/>
    <n v="6"/>
    <s v="متوسط"/>
    <s v="مرتبط بـR-015 وR-009 وإجراء إدارة التغيير."/>
  </r>
  <r>
    <s v="R-030"/>
    <s v="الأصول البشرية"/>
    <s v="الكوادر البشرية وفرق أمن المعلومات وتقنية المعلومات"/>
    <s v="فقدان المعرفة المؤسسية أو نقص الكوادر الأمنية المتخصصة نتيجة دوران الموظفين (12% سنوياً في تقنية المعلومات) أو غياب موظف رئيسي"/>
    <s v="اعتماد بعض العمليات على أفراد محددين دون توثيق كافٍ، وعدم وجود خطط تعاقب وظيفي للأدوار الأمنية الحرجة"/>
    <s v="توافر (A)"/>
    <s v="مدير إدارة الموارد البشرية"/>
    <s v="توثيق جزئي للإجراءات، وفرق متعددة في SOC بنظام المناوبات، واتفاقيات سرية، وبرامج تدريب"/>
    <n v="3"/>
    <s v="معدل الدوران 12% سنوياً في تقنية المعلومات، وبعض الأدوار الحرجة (مثل إدارة قواعد البيانات الرئيسية) يشغلها عدد محدود من الأشخاص."/>
    <n v="3"/>
    <s v="تأخر تنفيذ الضوابط والمشاريع الأمنية وضعف جودة التشغيل بخسائر 1 إلى 5 ملايين ريال وأثر على أهداف ISMS."/>
    <n v="9"/>
    <s v="متوسط"/>
    <s v="التخفيف"/>
    <s v="1) توثيق جميع إجراءات التشغيل الحرجة ضمن SOP وإتاحتها في مكتبة ISMS. 2) خطة تعاقب وظيفي للأدوار الأمنية الحرجة وتحديد بديل لكل دور. 3) برنامج تدريب وشهادات مهنية (ISO 27001 Lead Implementer، CISSP) للموظفين. 4) مراجعة سنوية لحمل العمل وتوزيع المهام."/>
    <s v="A.5.4، A.6.3، A.5.2، A.5.37"/>
    <n v="400000"/>
    <s v="مدير إدارة الموارد البشرية"/>
    <s v="2027-03-31"/>
    <n v="0.35"/>
    <s v="قيد التنفيذ"/>
    <n v="2"/>
    <s v="التوثيق وخطط التعاقب والتدريب تجعل أثر فقدان فرد محدوداً ونادر التحول إلى أزمة."/>
    <n v="3"/>
    <s v="يبقى أثر فقد خبير في نظام حرج متوسطاً حتى استكمال نقل المعرفة."/>
    <n v="6"/>
    <s v="متوسط"/>
    <s v="مرتبط بضوابط الموارد البشرية A.6.x وبأهداف ISMS الخاصة بالتدريب والتوعية."/>
  </r>
  <r>
    <s v="R-031"/>
    <s v="البنية التحتية والأجهزة"/>
    <s v="وسائط النسخ الاحتياطي (الأشرطة) أثناء النقل إلى الموقع الخارجي في جدة"/>
    <s v="تلف أو فقدان وسائط النسخ الاحتياطي أثناء نقلها من مركز البيانات الرئيسي إلى الموقع الخارجي"/>
    <s v="نقل الأشرطة أسبوعياً عبر مورد خدمات دون تتبع آلي للشحنات أو صناديق مقاومة للحريق والماء"/>
    <s v="سرية وتوافر (CA)"/>
    <s v="مدير قسم البنية التحتية والشبكات"/>
    <s v="صناديق نقل مؤمنة، وتوثيق يدوي لحركة الأشرطة، وعقد مع شركة خدمات النقل، وتشفير محتوى النسخ"/>
    <n v="1"/>
    <s v="لم تُسجل أي حالة تلف أو فقدان سابقة، والنقل يتم ضمن مسار داخلي (الرياض - جدة) بإجراءات موثقة وتشفير للمحتوى."/>
    <n v="4"/>
    <s v="فقدان مجموعة نسخ تاريخية يؤثر على قدرة الاستعادة لنقطة زمنية محددة بخسائر 5 إلى 25 مليون ريال في أسوأ الحالات."/>
    <n v="4"/>
    <s v="منخفض"/>
    <s v="القبول"/>
    <s v="قبول الخطر ضمن حدود شهية المخاطر المعتمدة (درجة 4 = منخفض) دون استثمار إضافي، مع الإبقاء على الضوابط القائمة: تشفير محتوى النسخ الاحتياطية، وصناديق نقل مؤمنة وموثقة الحركة، وعقد نقل مع شركة خدمات معتمدة، وجدول نسخ يومي. ويُنفَّذ إجراء رقابي واحد منخفض التكلفة هو التحقق من قابلية قراءة عينة من الأشرطة شهرياً."/>
    <s v="A.7.10، A.7.14، A.8.13، A.5.14"/>
    <n v="0"/>
    <s v="مدير قسم البنية التحتية والشبكات"/>
    <s v="2027-04-30"/>
    <n v="1"/>
    <s v="مكتمل"/>
    <n v="1"/>
    <s v="لا تغيير في الاحتمالية لعدم تنفيذ معالجة إضافية (خيار القبول)، مع بقاء التحقق الشهري من قراءة الأشرطة."/>
    <n v="4"/>
    <s v="لا تغيير في الأثر؛ يبقى أثر فقد مجموعة نسخ تاريخية كبيراً وإن كانت احتماليته نادرة جداً."/>
    <n v="4"/>
    <s v="منخفض"/>
    <s v="خطر منخفض (4) مقبول من مالك الخطر ومصدق من لجنة المخاطر بتاريخ 2026-04-12؛ يُراجع القبول سنوياً ضمن مراجعة الإدارة."/>
  </r>
  <r>
    <s v="R-032"/>
    <s v="الموردون والخدمات الخارجية"/>
    <s v="الأنظمة غير الحرجة المستضافة على AWS وبيانات مستودع البيانات التحليلية"/>
    <s v="انقطاع أو تدهور أداء الأنظمة غير الحرجة المستضافة سحابياً بما يعطل التقارير التحليلية وبيئات التطوير"/>
    <s v="اعتماد بعض التقارير التشغيلية على موارد سحابية دون خطة تشغيل بديلة موثقة"/>
    <s v="توافر (A)"/>
    <s v="مدير إدارة تقنية المعلومات"/>
    <s v="اتفاقية مستوى خدمة مع AWS، ونسخ احتياطي لبعض الموارد، ومراقبة توفر يدوية"/>
    <n v="2"/>
    <s v="AWS توفر مستويات توفر عالية، والأنظمة المستضافة غير حرجة ولا تؤثر مباشرة على الخدمات المصرفية."/>
    <n v="2"/>
    <s v="تأخر تقارير إدارية وبيئات تطوير لمدة محدودة بخسائر أقل من مليون ريال وأثر تشغيلي طفيف."/>
    <n v="4"/>
    <s v="منخفض"/>
    <s v="القبول"/>
    <s v="قبول الخطر ضمن حدود شهية المخاطر المعتمدة مع: 1) مراقبة توفر الموارد شهرياً. 2) توثيق إجراء تشغيل يدوي بديل للتقارير الحرجة. 3) مراجعة قبول الخطر سنوياً من مالك الخطر."/>
    <s v="A.5.23، A.8.6، A.5.9"/>
    <n v="0"/>
    <s v="مدير إدارة تقنية المعلومات"/>
    <s v="2027-04-30"/>
    <n v="1"/>
    <s v="مكتمل"/>
    <n v="2"/>
    <s v="لا تغيير في الاحتمالية لعدم تنفيذ معالجة تقنية إضافية (خيار القبول)."/>
    <n v="1"/>
    <s v="الأثر محدود جداً لطبيعة الأنظمة غير الحرجة ووجود إجراء تشغيل بديل."/>
    <n v="2"/>
    <s v="منخفض"/>
    <s v="مثال على خيار القبول الموثق ضمن حدود الشهية؛ يُراجع سنوياً في مراجعة الإدارة."/>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منخفض"/>
    <n v="2"/>
  </r>
  <r>
    <s v="متوسط"/>
    <n v="15"/>
  </r>
  <r>
    <s v="مرتفع"/>
    <n v="9"/>
  </r>
  <r>
    <s v="حرج"/>
    <n v="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منخفض"/>
    <n v="17"/>
  </r>
  <r>
    <s v="متوسط"/>
    <n v="13"/>
  </r>
  <r>
    <s v="مرتفع"/>
    <n v="2"/>
  </r>
  <r>
    <s v="حرج"/>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54CD0-A79C-4153-9D7E-A34A421295CD}" name="PreTreatmentRisks" cacheId="12" applyNumberFormats="0" applyBorderFormats="0" applyFontFormats="0" applyPatternFormats="0" applyAlignmentFormats="0" applyWidthHeightFormats="1" dataCaption="Values" updatedVersion="8" minRefreshableVersion="3" showDrill="0" rowGrandTotals="0" colGrandTotals="0" itemPrintTitles="1" createdVersion="6" indent="0" compact="0" compactData="0" multipleFieldFilters="0" chartFormat="8">
  <location ref="B12" firstHeaderRow="0" firstDataRow="0" firstDataCol="0"/>
  <pivotFields count="2">
    <pivotField compact="0" outline="0" subtotalTop="0" showAll="0" defaultSubtotal="0"/>
    <pivotField name="قبل المعالجة2" compact="0" outline="0" subtotalTop="0" showAll="0" defaultSubtotal="0"/>
  </pivotFields>
  <formats count="3">
    <format dxfId="141">
      <pivotArea dataOnly="0" labelOnly="1" outline="0" axis="axisValues" fieldPosition="0"/>
    </format>
    <format dxfId="140">
      <pivotArea dataOnly="0" labelOnly="1" outline="0" axis="axisValues"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CE55E-8D9E-4032-8BD7-F4C9EAE853C6}" name="PreTreatmentRisksByOwner" cacheId="9"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7">
  <location ref="B6:D23" firstHeaderRow="1" firstDataRow="1" firstDataCol="0"/>
  <pivotFields count="29">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3"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2">
    <format dxfId="136">
      <pivotArea dataOnly="0" labelOnly="1" outline="0" axis="axisValues"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E504-A48F-4AA2-88A6-8592D154440B}" name="PostTreatmentRisks" cacheId="15"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chartFormat="4">
  <location ref="B12" firstHeaderRow="0" firstDataRow="0" firstDataCol="0"/>
  <pivotFields count="2">
    <pivotField compact="0" outline="0" subtotalTop="0" showAll="0" defaultSubtotal="0"/>
    <pivotField name="بعد المعالجة2" compact="0" outline="0" subtotalTop="0" showAll="0" defaultSubtotal="0"/>
  </pivotFields>
  <formats count="2">
    <format dxfId="134">
      <pivotArea dataOnly="0" labelOnly="1" outline="0" axis="axisValues" fieldPosition="0"/>
    </format>
    <format dxfId="1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E5981-7780-4152-B8A0-5BA3F8B9B204}" name="RisksByRiskLevelPre&amp;PostTreatment" cacheId="6"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chartFormat="3">
  <location ref="B12" firstHeaderRow="0" firstDataRow="0" firstDataCol="0"/>
  <pivotFields count="3">
    <pivotField compact="0" outline="0" subtotalTop="0" showAll="0" defaultSubtotal="0"/>
    <pivotField name="قبل المعالجة2" compact="0" outline="0" subtotalTop="0" showAll="0" defaultSubtotal="0"/>
    <pivotField name="بعد المعالجة2" compact="0" outline="0" subtotalTop="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067F7-6D27-48FC-8D4C-69E4742A016E}" name="RisksByTreatmentOption" cacheId="9"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chartFormat="3">
  <location ref="B6" firstHeaderRow="0" firstDataRow="0" firstDataCol="0"/>
  <pivotFields count="29">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3"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2">
    <format dxfId="127">
      <pivotArea dataOnly="0" labelOnly="1" outline="0" axis="axisValues"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2D984-D089-4D43-84DD-2CCEF17FD514}" name="TreatmentCosts" cacheId="9"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chartFormat="6">
  <location ref="B6" firstHeaderRow="0" firstDataRow="0" firstDataCol="0"/>
  <pivotFields count="29">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3"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2">
    <format dxfId="125">
      <pivotArea dataOnly="0" labelOnly="1" outline="0" axis="axisValues"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3C23E-6635-489C-BA68-88DD7950879F}" name="TreatmentActionOwner" cacheId="9"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chartFormat="6">
  <location ref="B6" firstHeaderRow="0" firstDataRow="0" firstDataCol="0"/>
  <pivotFields count="29">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3"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formats count="4">
    <format dxfId="123">
      <pivotArea type="origin" dataOnly="0" labelOnly="1" outline="0" fieldPosition="0"/>
    </format>
    <format dxfId="122">
      <pivotArea type="topRight" dataOnly="0" labelOnly="1" outline="0" fieldPosition="0"/>
    </format>
    <format dxfId="121">
      <pivotArea type="origin" dataOnly="0" labelOnly="1" outline="0" fieldPosition="0"/>
    </format>
    <format dxfId="120">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9"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3">
  <location ref="O8" firstHeaderRow="0" firstDataRow="0"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s>
  <formats count="8">
    <format dxfId="74">
      <pivotArea dataOnly="0" labelOnly="1" outline="0" axis="axisValues" fieldPosition="0"/>
    </format>
    <format dxfId="73">
      <pivotArea dataOnly="0" labelOnly="1" outline="0" axis="axisValues" fieldPosition="0"/>
    </format>
    <format dxfId="72">
      <pivotArea dataOnly="0" labelOnly="1" outline="0" axis="axisValues" fieldPosition="0"/>
    </format>
    <format dxfId="71">
      <pivotArea grandRow="1" outline="0" collapsedLevelsAreSubtotals="1" fieldPosition="0"/>
    </format>
    <format dxfId="70">
      <pivotArea dataOnly="0" labelOnly="1" grandRow="1" outline="0" fieldPosition="0"/>
    </format>
    <format dxfId="69">
      <pivotArea grandRow="1" outline="0" collapsedLevelsAreSubtotals="1" fieldPosition="0"/>
    </format>
    <format dxfId="68">
      <pivotArea dataOnly="0" labelOnly="1" grandRow="1" outline="0" fieldPosition="0"/>
    </format>
    <format dxfId="6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7BCC62-60D1-4133-86FC-C9F99ED56F94}" name="PivotTable17"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I8:K25" firstHeaderRow="1" firstDataRow="1"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s>
  <formats count="15">
    <format dxfId="89">
      <pivotArea type="origin" dataOnly="0" labelOnly="1" outline="0" fieldPosition="0"/>
    </format>
    <format dxfId="88">
      <pivotArea type="topRight" dataOnly="0" labelOnly="1" outline="0" fieldPosition="0"/>
    </format>
    <format dxfId="87">
      <pivotArea dataOnly="0" labelOnly="1" grandCol="1" outline="0" fieldPosition="0"/>
    </format>
    <format dxfId="86">
      <pivotArea grandRow="1" outline="0" collapsedLevelsAreSubtotals="1" fieldPosition="0"/>
    </format>
    <format dxfId="85">
      <pivotArea dataOnly="0" labelOnly="1" grandRow="1" outline="0" fieldPosition="0"/>
    </format>
    <format dxfId="84">
      <pivotArea type="origin" dataOnly="0" labelOnly="1" outline="0" fieldPosition="0"/>
    </format>
    <format dxfId="83">
      <pivotArea type="topRight" dataOnly="0" labelOnly="1" outline="0" fieldPosition="0"/>
    </format>
    <format dxfId="82">
      <pivotArea dataOnly="0" labelOnly="1" grandCol="1" outline="0" fieldPosition="0"/>
    </format>
    <format dxfId="81">
      <pivotArea grandRow="1" outline="0" collapsedLevelsAreSubtotals="1" fieldPosition="0"/>
    </format>
    <format dxfId="80">
      <pivotArea dataOnly="0" labelOnly="1" grandRow="1" outline="0" fieldPosition="0"/>
    </format>
    <format dxfId="79">
      <pivotArea type="origin" dataOnly="0" labelOnly="1" outline="0" fieldPosition="0"/>
    </format>
    <format dxfId="78">
      <pivotArea type="topRight" dataOnly="0" labelOnly="1" outline="0" fieldPosition="0"/>
    </format>
    <format dxfId="77">
      <pivotArea dataOnly="0" labelOnly="1" grandCol="1" outline="0" fieldPosition="0"/>
    </format>
    <format dxfId="76">
      <pivotArea grandRow="1" outline="0" collapsedLevelsAreSubtotals="1" fieldPosition="0"/>
    </format>
    <format dxfId="7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3C2A2-B932-4927-9362-69868D20801B}" name="PivotTable16"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8:D25" firstHeaderRow="1" firstDataRow="1"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s>
  <formats count="14">
    <format dxfId="103">
      <pivotArea type="origin" dataOnly="0" labelOnly="1" outline="0" fieldPosition="0"/>
    </format>
    <format dxfId="102">
      <pivotArea type="topRight" dataOnly="0" labelOnly="1" outline="0" fieldPosition="0"/>
    </format>
    <format dxfId="101">
      <pivotArea dataOnly="0" labelOnly="1" grandCol="1" outline="0" fieldPosition="0"/>
    </format>
    <format dxfId="100">
      <pivotArea type="origin" dataOnly="0" labelOnly="1" outline="0" fieldPosition="0"/>
    </format>
    <format dxfId="99">
      <pivotArea type="topRight" dataOnly="0" labelOnly="1" outline="0" fieldPosition="0"/>
    </format>
    <format dxfId="98">
      <pivotArea dataOnly="0" labelOnly="1" grandCol="1" outline="0" fieldPosition="0"/>
    </format>
    <format dxfId="97">
      <pivotArea outline="0" collapsedLevelsAreSubtotals="1" fieldPosition="0"/>
    </format>
    <format dxfId="96">
      <pivotArea dataOnly="0" grandRow="1" fieldPosition="0"/>
    </format>
    <format dxfId="95">
      <pivotArea dataOnly="0" grandRow="1" fieldPosition="0"/>
    </format>
    <format dxfId="94">
      <pivotArea type="origin" dataOnly="0" labelOnly="1" outline="0" fieldPosition="0"/>
    </format>
    <format dxfId="93">
      <pivotArea type="topRight" dataOnly="0" labelOnly="1" outline="0" fieldPosition="0"/>
    </format>
    <format dxfId="92">
      <pivotArea dataOnly="0" labelOnly="1" grandCol="1" outline="0" fieldPosition="0"/>
    </format>
    <format dxfId="91">
      <pivotArea grandRow="1" outline="0" collapsedLevelsAreSubtotals="1" fieldPosition="0"/>
    </format>
    <format dxfId="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74CC4C-9E8D-42E1-8983-8A9426B1F6C6}" name="PivotTable19" cacheId="9"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3">
  <location ref="R15" firstHeaderRow="0" firstDataRow="0"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s>
  <formats count="8">
    <format dxfId="111">
      <pivotArea dataOnly="0" labelOnly="1" outline="0" axis="axisValues" fieldPosition="0"/>
    </format>
    <format dxfId="110">
      <pivotArea dataOnly="0" labelOnly="1" outline="0" axis="axisValues" fieldPosition="0"/>
    </format>
    <format dxfId="109">
      <pivotArea dataOnly="0" grandRow="1" fieldPosition="0"/>
    </format>
    <format dxfId="108">
      <pivotArea dataOnly="0" grandRow="1" fieldPosition="0"/>
    </format>
    <format dxfId="107">
      <pivotArea grandRow="1" outline="0" collapsedLevelsAreSubtotals="1" fieldPosition="0"/>
    </format>
    <format dxfId="106">
      <pivotArea dataOnly="0" labelOnly="1" grandRow="1" outline="0" fieldPosition="0"/>
    </format>
    <format dxfId="105">
      <pivotArea dataOnly="0" labelOnly="1" outline="0" axis="axisValues" fieldPosition="0"/>
    </format>
    <format dxfId="104">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 مالك الخطر">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 مستوى الخطر">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 خيار المعالجة المختار">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 مسؤول إجراء المعالجة">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 حالة الإجراء">
  <extLst>
    <x:ext xmlns:x15="http://schemas.microsoft.com/office/spreadsheetml/2010/11/main" uri="{2F2917AC-EB37-4324-AD4E-5DD8C200BD13}">
      <x15:tableSlicerCache tableId="7"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 مستوى الخطر بعد المعالجة">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 مالك الخطر" style="مقسم ISMS 2" rowHeight="241300"/>
  <slicer name="Risk level" xr10:uid="{E70FB1F9-5DCB-4E00-B3B9-BC105490AFFC}" cache="Slicer_Risk_level" caption=" مستوى الخطر" style="مقسم ISMS 2" rowHeight="241300"/>
  <slicer name="Treatment option chosen 2" xr10:uid="{D089F5CA-DA1B-477E-A6DE-C0274D5E7FDF}" cache="Slicer_Treatment_option_chosen" caption=" خيار المعالجة المختار" style="مقسم ISMS 2" rowHeight="241300"/>
  <slicer name="Treatment Action Owner 1" xr10:uid="{D2DCCA03-CB0D-48E4-814F-44AEF6BDDF22}" cache="Slicer_Treatment_Action_Owner" caption=" مسؤول إجراء المعالجة" style="مقسم ISMS 2" rowHeight="241300"/>
  <slicer name="Treatment Action Status 1" xr10:uid="{3CE09EDA-8080-4AA7-BFBD-53772DAA8DB8}" cache="Slicer_Treatment_Action_Status" caption="حالة إجراء المعالجة" style="مقسم ISMS 2" rowHeight="241300"/>
  <slicer name="Post-Treatment Risk Level" xr10:uid="{5A1B27FD-AF30-402A-A993-743243C18186}" cache="Slicer_Post_Treatment_Risk_Level" caption=" مستوى الخطر بعد المعالجة" style="مقسم ISMS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D45" totalsRowShown="0" headerRowDxfId="172" dataDxfId="171">
  <autoFilter ref="B13:AD45"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780B8FA-8743-4524-865B-12BD63D2056E}" name=" المرجع" dataDxfId="170"/>
    <tableColumn id="2" xr3:uid="{3278FB7C-91F3-417D-B3D1-6874CF833910}" name=" مجموعة الأصل" dataDxfId="169"/>
    <tableColumn id="14" xr3:uid="{A53DA3AA-36F7-400B-A24B-61AFD64480AC}" name=" الأصل" dataDxfId="168"/>
    <tableColumn id="18" xr3:uid="{1511B5E3-B2A9-4480-B286-EADDA60D8391}" name=" التهديد" dataDxfId="167"/>
    <tableColumn id="19" xr3:uid="{B7C45012-4C1A-4DA9-8F5B-7B0DFE5D4ADF}" name=" نقطة الضعف" dataDxfId="166"/>
    <tableColumn id="5" xr3:uid="{7E2C2527-E2E7-4FED-AC15-82969BEEA9D8}" name=" نوع الخطر" dataDxfId="165"/>
    <tableColumn id="6" xr3:uid="{5BD50508-B827-4940-BEA7-24745396DADF}" name=" مالك الخطر" dataDxfId="164"/>
    <tableColumn id="7" xr3:uid="{88F4F6C4-C558-4511-BD94-F92314B01A77}" name=" الضوابط القائمة" dataDxfId="163"/>
    <tableColumn id="8" xr3:uid="{0AA282DC-3088-4338-80C5-2EF25A907C36}" name=" الاحتمالية" dataDxfId="162"/>
    <tableColumn id="9" xr3:uid="{84AE39E5-D4CF-48F2-AE20-B65A24BC706B}" name=" مبرر الاحتمالية" dataDxfId="161"/>
    <tableColumn id="10" xr3:uid="{CA483CC8-0A9F-49F4-8467-9C42A0694C13}" name=" التأثير" dataDxfId="160"/>
    <tableColumn id="11" xr3:uid="{CFD1BC19-E865-4532-B678-79A520B128C6}" name=" مبرر التأثير" dataDxfId="159"/>
    <tableColumn id="12" xr3:uid="{B7F199D4-99F3-4A9C-9D92-102D2EF262D7}" name=" درجة الخطر" dataDxfId="158"/>
    <tableColumn id="26" xr3:uid="{92D3F116-E810-44D0-9D9E-7FBEB1DEB8D8}" name=" مستوى الخطر" dataDxfId="157">
      <calculatedColumnFormula>IF(N14="Calculated", "Calculated", IF(N14&gt;11, " HIGH",IF(N14&gt;4," MEDIUM"," LOW")))</calculatedColumnFormula>
    </tableColumn>
    <tableColumn id="25" xr3:uid="{4A288FE7-5236-47D2-A80C-C3EFE89D249B}" name=" خيار المعالجة المختار" dataDxfId="156"/>
    <tableColumn id="24" xr3:uid="{E68F9F93-9B81-4C6A-A901-3CB89BBDB0C3}" name=" إجراء المعالجة المقترح" dataDxfId="155"/>
    <tableColumn id="13" xr3:uid="{797EBABE-8B9B-4A04-AED5-FD6E9F5FA88F}" name=" مرجع الضابط - الملحق A" dataDxfId="154"/>
    <tableColumn id="3" xr3:uid="{9899C2E4-A8EF-4E7C-91BC-56AEC3605BDB}" name=" تكلفة المعالجة" dataDxfId="153"/>
    <tableColumn id="4" xr3:uid="{63FCA63E-37BE-41EE-855A-DDCB2528FE79}" name=" مسؤول إجراء المعالجة" dataDxfId="152"/>
    <tableColumn id="15" xr3:uid="{FE9D1397-7F83-4072-BC01-DC4A10C3AC1B}" name=" الموعد المستهدف للإجراء" dataDxfId="151"/>
    <tableColumn id="17" xr3:uid="{B7628829-460A-4E1B-A225-CC60743DDDC9}" name=" نسبة إنجاز الإجراء" dataDxfId="150"/>
    <tableColumn id="16" xr3:uid="{D8785450-9FE7-4D1F-B472-FBA3922839CE}" name=" حالة الإجراء" dataDxfId="149"/>
    <tableColumn id="23" xr3:uid="{0C955E08-3829-43CE-AD97-7CAC6D3BE74A}" name=" الاحتمالية بعد المعالجة" dataDxfId="148"/>
    <tableColumn id="22" xr3:uid="{FC0F7D48-D51C-4F43-B569-3F3866789458}" name=" مبرر الاحتمالية بعد المعالجة" dataDxfId="147"/>
    <tableColumn id="20" xr3:uid="{8099D3FF-BFC9-4F1E-8F43-237A9CAEC5F4}" name=" التأثير بعد المعالجة" dataDxfId="146"/>
    <tableColumn id="34" xr3:uid="{A042F55B-EB28-4B01-BDE5-0C5066129EAD}" name=" مبرر التأثير بعد المعالجة" dataDxfId="145"/>
    <tableColumn id="33" xr3:uid="{77FF60DC-16CE-4E05-B011-A7DAE2503C53}" name=" درجة الخطر بعد المعالجة" dataDxfId="144"/>
    <tableColumn id="32" xr3:uid="{02FDD454-ECC7-411C-896E-F510AA417304}" name=" مستوى الخطر بعد المعالجة" dataDxfId="143">
      <calculatedColumnFormula>IF(AB14="Calculated", "Calculated", IF(AB14&gt;11, " HIGH",IF(AB14&gt;4," MEDIUM"," LOW")))</calculatedColumnFormula>
    </tableColumn>
    <tableColumn id="31" xr3:uid="{6F81B6AE-B322-464A-9CA3-F6649B4E74FA}" name=" ملاحظات" dataDxfId="142"/>
  </tableColumns>
  <tableStyleInfo name="نمط جدول ISMS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10" totalsRowShown="0" headerRowDxfId="138">
  <autoFilter ref="B6:C10" xr:uid="{6DD72213-C7C7-4475-81A9-957D67691275}"/>
  <tableColumns count="2">
    <tableColumn id="1" xr3:uid="{FB643B66-CD9F-4AE4-BE24-8E9BB8A598B3}" name="مستوى الخطر"/>
    <tableColumn id="2" xr3:uid="{431A049C-CEE8-4AED-A122-0554E1196028}" name="قبل المعالجة" dataDxfId="13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10" totalsRowShown="0" headerRowDxfId="132">
  <autoFilter ref="B6:C10" xr:uid="{58B6FB75-1772-4E97-8BB0-09A2610DA359}"/>
  <tableColumns count="2">
    <tableColumn id="1" xr3:uid="{060FE462-9CBB-476C-A515-C7814AC430E9}" name="مستوى الخطر"/>
    <tableColumn id="3" xr3:uid="{8B930A52-980E-4015-A09E-7AE896EC2DA9}" name="بعد المعالجة" dataDxfId="131"/>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10" totalsRowShown="0" headerRowDxfId="130">
  <autoFilter ref="B6:D10" xr:uid="{1C2041F9-A7AF-4536-A9F3-B5F1DC471D08}"/>
  <tableColumns count="3">
    <tableColumn id="1" xr3:uid="{4BCDBDEA-07E5-417B-8555-2DB6730C7156}" name="مستوى الخطر"/>
    <tableColumn id="2" xr3:uid="{B9F5D0BE-47D8-41B6-9E6A-B89B087E76CE}" name="قبل المعالجة" dataDxfId="129"/>
    <tableColumn id="3" xr3:uid="{729B54DD-5446-4A03-AA73-E8050E6B0473}" name="بعد المعالجة" dataDxfId="12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1" totalsRowShown="0" headerRowDxfId="119" dataDxfId="118">
  <autoFilter ref="B6:B11" xr:uid="{53E7F917-CE3C-45CA-BA10-709121A44293}">
    <filterColumn colId="0" hiddenButton="1"/>
  </autoFilter>
  <tableColumns count="1">
    <tableColumn id="1" xr3:uid="{5364270F-A323-40A1-A90B-30119CD587D5}" name="من 1 إلى 5" dataDxfId="117"/>
  </tableColumns>
  <tableStyleInfo name="نمط جدول ISM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E6:E10" totalsRowShown="0" headerRowDxfId="116">
  <autoFilter ref="E6:E10" xr:uid="{45576131-8111-4F4B-847C-3395F8FC4342}">
    <filterColumn colId="0" hiddenButton="1"/>
  </autoFilter>
  <tableColumns count="1">
    <tableColumn id="1" xr3:uid="{40850E87-988C-4D35-BD9B-533BCAD5ED19}" name="خيارات المعالجة"/>
  </tableColumns>
  <tableStyleInfo name="نمط جدول ISM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2" totalsRowShown="0" headerRowDxfId="115" dataDxfId="114">
  <autoFilter ref="B15:B22" xr:uid="{ADC1EFD5-3350-4072-8EF2-5133E8CE6D2E}">
    <filterColumn colId="0" hiddenButton="1"/>
  </autoFilter>
  <tableColumns count="1">
    <tableColumn id="1" xr3:uid="{E0E30E6C-8C77-4094-A54C-089E8B9C4815}" name="نوع الخطر" dataDxfId="113"/>
  </tableColumns>
  <tableStyleInfo name="نمط جدول ISM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E15:E19" totalsRowShown="0" headerRowDxfId="112">
  <autoFilter ref="E15:E19" xr:uid="{1A728688-554C-4C39-81EA-DFD5D3DCEF34}">
    <filterColumn colId="0" hiddenButton="1"/>
  </autoFilter>
  <tableColumns count="1">
    <tableColumn id="1" xr3:uid="{0D4F1FB8-5CDF-4735-B2A0-EAE98570F98E}" name="حالة إجراء المعالجة"/>
  </tableColumns>
  <tableStyleInfo name="نمط جدول ISM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R8:T12" totalsRowShown="0">
  <autoFilter ref="R8:T12" xr:uid="{54D3D3B4-BC6C-4AF1-95F6-7C95CC09C77A}">
    <filterColumn colId="0" hiddenButton="1"/>
    <filterColumn colId="1" hiddenButton="1"/>
    <filterColumn colId="2" hiddenButton="1"/>
  </autoFilter>
  <tableColumns count="3">
    <tableColumn id="1" xr3:uid="{F23F1193-8162-48F6-90A7-5E21284DF35C}" name="مستوى الخطر"/>
    <tableColumn id="2" xr3:uid="{247618CA-BB68-4CFA-94FD-F8EF97D709C5}" name="قبل المعالجة" dataDxfId="66"/>
    <tableColumn id="3" xr3:uid="{767FB9D4-83A3-4A52-9158-EE6C4BD19ED3}" name="بعد المعالجة" dataDxfId="65"/>
  </tableColumns>
  <tableStyleInfo name="نمط جدول ISMS" showFirstColumn="0" showLastColumn="0" showRowStripes="0"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2.bin"/><Relationship Id="rId5" Type="http://schemas.openxmlformats.org/officeDocument/2006/relationships/table" Target="../tables/table8.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3.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0692-6C49-4CEA-A5EE-F1AC41342BA0}">
  <dimension ref="A8:B28"/>
  <sheetViews>
    <sheetView showGridLines="0" rightToLeft="1" zoomScaleNormal="100" workbookViewId="0">
      <selection activeCell="B2" sqref="B2"/>
    </sheetView>
  </sheetViews>
  <sheetFormatPr defaultColWidth="9.109375" defaultRowHeight="14.4" x14ac:dyDescent="0.3"/>
  <cols>
    <col min="1" max="1" width="2.88671875" style="3" customWidth="1"/>
    <col min="2" max="2" width="93.109375" style="4" customWidth="1"/>
    <col min="3" max="16384" width="9.109375" style="3"/>
  </cols>
  <sheetData>
    <row r="8" spans="1:2" ht="43.2" x14ac:dyDescent="0.3">
      <c r="B8" s="82" t="s">
        <v>0</v>
      </c>
    </row>
    <row r="10" spans="1:2" ht="28.8" x14ac:dyDescent="0.3">
      <c r="B10" s="82" t="s">
        <v>1</v>
      </c>
    </row>
    <row r="12" spans="1:2" ht="72" x14ac:dyDescent="0.3">
      <c r="B12" s="82" t="s">
        <v>2</v>
      </c>
    </row>
    <row r="14" spans="1:2" ht="100.8" x14ac:dyDescent="0.3">
      <c r="A14" s="52"/>
      <c r="B14" s="82" t="s">
        <v>3</v>
      </c>
    </row>
    <row r="15" spans="1:2" x14ac:dyDescent="0.3">
      <c r="A15" s="52"/>
      <c r="B15" s="83"/>
    </row>
    <row r="16" spans="1:2" ht="172.8" x14ac:dyDescent="0.3">
      <c r="B16" s="82" t="s">
        <v>4</v>
      </c>
    </row>
    <row r="18" spans="2:2" ht="57.6" x14ac:dyDescent="0.3">
      <c r="B18" s="82" t="s">
        <v>5</v>
      </c>
    </row>
    <row r="20" spans="2:2" ht="28.8" x14ac:dyDescent="0.3">
      <c r="B20" s="82" t="s">
        <v>6</v>
      </c>
    </row>
    <row r="22" spans="2:2" ht="43.2" x14ac:dyDescent="0.3">
      <c r="B22" s="82" t="s">
        <v>7</v>
      </c>
    </row>
    <row r="24" spans="2:2" ht="43.2" x14ac:dyDescent="0.3">
      <c r="B24" s="82" t="s">
        <v>8</v>
      </c>
    </row>
    <row r="26" spans="2:2" ht="43.2" x14ac:dyDescent="0.3">
      <c r="B26" s="82" t="s">
        <v>9</v>
      </c>
    </row>
    <row r="27" spans="2:2" ht="15" thickBot="1" x14ac:dyDescent="0.35">
      <c r="B27" s="84"/>
    </row>
    <row r="28" spans="2:2" ht="15" thickTop="1" x14ac:dyDescent="0.3"/>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907F-E705-40D3-8D4F-BFBE2748236C}">
  <dimension ref="A2:C20"/>
  <sheetViews>
    <sheetView showGridLines="0" rightToLeft="1" topLeftCell="A18" workbookViewId="0">
      <selection activeCell="C47" sqref="C47"/>
    </sheetView>
  </sheetViews>
  <sheetFormatPr defaultColWidth="9.109375" defaultRowHeight="14.4" x14ac:dyDescent="0.3"/>
  <cols>
    <col min="1" max="1" width="2.88671875" style="3" customWidth="1"/>
    <col min="2" max="2" width="25" style="3" customWidth="1"/>
    <col min="3" max="3" width="83.6640625" style="3" customWidth="1"/>
    <col min="4" max="16384" width="9.109375" style="3"/>
  </cols>
  <sheetData>
    <row r="2" spans="1:3" x14ac:dyDescent="0.3">
      <c r="B2" s="4"/>
    </row>
    <row r="3" spans="1:3" x14ac:dyDescent="0.3">
      <c r="B3" s="4"/>
    </row>
    <row r="4" spans="1:3" x14ac:dyDescent="0.3">
      <c r="B4" s="4"/>
    </row>
    <row r="5" spans="1:3" x14ac:dyDescent="0.3">
      <c r="B5" s="4"/>
    </row>
    <row r="6" spans="1:3" x14ac:dyDescent="0.3">
      <c r="B6" s="4"/>
    </row>
    <row r="8" spans="1:3" ht="21" x14ac:dyDescent="0.3">
      <c r="B8" s="10" t="s">
        <v>10</v>
      </c>
    </row>
    <row r="10" spans="1:3" x14ac:dyDescent="0.3">
      <c r="A10" s="53"/>
      <c r="B10" s="20" t="s">
        <v>11</v>
      </c>
      <c r="C10" s="50" t="s">
        <v>12</v>
      </c>
    </row>
    <row r="11" spans="1:3" x14ac:dyDescent="0.3">
      <c r="A11" s="53"/>
      <c r="B11" s="54" t="s">
        <v>13</v>
      </c>
      <c r="C11" s="55" t="s">
        <v>14</v>
      </c>
    </row>
    <row r="12" spans="1:3" ht="129.6" x14ac:dyDescent="0.3">
      <c r="A12" s="53"/>
      <c r="B12" s="20" t="s">
        <v>15</v>
      </c>
      <c r="C12" s="50" t="s">
        <v>16</v>
      </c>
    </row>
    <row r="13" spans="1:3" ht="115.2" x14ac:dyDescent="0.3">
      <c r="A13" s="53"/>
      <c r="B13" s="54" t="s">
        <v>17</v>
      </c>
      <c r="C13" s="55" t="s">
        <v>18</v>
      </c>
    </row>
    <row r="14" spans="1:3" ht="86.4" x14ac:dyDescent="0.3">
      <c r="A14" s="53"/>
      <c r="B14" s="56" t="s">
        <v>19</v>
      </c>
      <c r="C14" s="57" t="s">
        <v>20</v>
      </c>
    </row>
    <row r="15" spans="1:3" x14ac:dyDescent="0.3">
      <c r="A15" s="53"/>
      <c r="B15" s="20" t="s">
        <v>21</v>
      </c>
      <c r="C15" s="50" t="s">
        <v>22</v>
      </c>
    </row>
    <row r="16" spans="1:3" x14ac:dyDescent="0.3">
      <c r="A16" s="53"/>
      <c r="B16" s="56" t="s">
        <v>23</v>
      </c>
      <c r="C16" s="58" t="s">
        <v>24</v>
      </c>
    </row>
    <row r="17" spans="1:3" ht="28.8" x14ac:dyDescent="0.3">
      <c r="A17" s="53"/>
      <c r="B17" s="20" t="s">
        <v>25</v>
      </c>
      <c r="C17" s="50" t="s">
        <v>26</v>
      </c>
    </row>
    <row r="18" spans="1:3" ht="57.6" x14ac:dyDescent="0.3">
      <c r="A18" s="53"/>
      <c r="B18" s="20" t="s">
        <v>27</v>
      </c>
      <c r="C18" s="50" t="s">
        <v>28</v>
      </c>
    </row>
    <row r="19" spans="1:3" ht="28.8" x14ac:dyDescent="0.3">
      <c r="A19" s="53"/>
      <c r="B19" s="56" t="s">
        <v>29</v>
      </c>
      <c r="C19" s="55" t="s">
        <v>30</v>
      </c>
    </row>
    <row r="20" spans="1:3" x14ac:dyDescent="0.3">
      <c r="A20" s="53"/>
      <c r="B20" s="20" t="s">
        <v>31</v>
      </c>
      <c r="C20" s="59" t="s">
        <v>32</v>
      </c>
    </row>
  </sheetData>
  <sheetProtection select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A2:AO45"/>
  <sheetViews>
    <sheetView showGridLines="0" rightToLeft="1" zoomScaleNormal="100" workbookViewId="0">
      <selection activeCell="B2" sqref="B2"/>
    </sheetView>
  </sheetViews>
  <sheetFormatPr defaultColWidth="9.109375" defaultRowHeight="14.4" x14ac:dyDescent="0.3"/>
  <cols>
    <col min="1" max="1" width="2.88671875" style="118" customWidth="1"/>
    <col min="2" max="2" width="5.5546875" style="118" bestFit="1" customWidth="1"/>
    <col min="3" max="3" width="7.6640625" style="118" bestFit="1" customWidth="1"/>
    <col min="4" max="4" width="5.6640625" style="118" bestFit="1" customWidth="1"/>
    <col min="5" max="5" width="5.88671875" style="118" bestFit="1" customWidth="1"/>
    <col min="6" max="6" width="6.109375" style="118" bestFit="1" customWidth="1"/>
    <col min="7" max="8" width="5.33203125" style="118" bestFit="1" customWidth="1"/>
    <col min="9" max="9" width="7.6640625" style="118" bestFit="1" customWidth="1"/>
    <col min="10" max="10" width="9" style="118" customWidth="1"/>
    <col min="11" max="11" width="11.21875" style="118" bestFit="1" customWidth="1"/>
    <col min="12" max="13" width="10.21875" style="118" customWidth="1"/>
    <col min="14" max="14" width="6.88671875" style="113" customWidth="1"/>
    <col min="15" max="15" width="9.88671875" style="118" customWidth="1"/>
    <col min="16" max="16" width="9.33203125" style="118" customWidth="1"/>
    <col min="17" max="17" width="11.33203125" style="118" bestFit="1" customWidth="1"/>
    <col min="18" max="18" width="18.88671875" style="118" bestFit="1" customWidth="1"/>
    <col min="19" max="19" width="11.21875" style="118" bestFit="1" customWidth="1"/>
    <col min="20" max="20" width="6.88671875" style="118" bestFit="1" customWidth="1"/>
    <col min="21" max="21" width="8.88671875" style="113" bestFit="1" customWidth="1"/>
    <col min="22" max="22" width="5.44140625" style="113" bestFit="1" customWidth="1"/>
    <col min="23" max="23" width="5.33203125" style="118" bestFit="1" customWidth="1"/>
    <col min="24" max="24" width="8.44140625" style="113" bestFit="1" customWidth="1"/>
    <col min="25" max="25" width="10.88671875" style="118" bestFit="1" customWidth="1"/>
    <col min="26" max="26" width="6.6640625" style="118" bestFit="1" customWidth="1"/>
    <col min="27" max="27" width="8.77734375" style="118" bestFit="1" customWidth="1"/>
    <col min="28" max="28" width="8.5546875" style="113" bestFit="1" customWidth="1"/>
    <col min="29" max="29" width="8.5546875" style="118" bestFit="1" customWidth="1"/>
    <col min="30" max="30" width="8" style="118" bestFit="1" customWidth="1"/>
    <col min="31" max="16384" width="9.109375" style="94"/>
  </cols>
  <sheetData>
    <row r="2" spans="2:41" ht="15" customHeight="1" x14ac:dyDescent="0.3">
      <c r="G2" s="119"/>
    </row>
    <row r="8" spans="2:41" ht="21" x14ac:dyDescent="0.3">
      <c r="B8" s="120" t="s">
        <v>33</v>
      </c>
    </row>
    <row r="9" spans="2:41" x14ac:dyDescent="0.3">
      <c r="B9" s="121" t="s">
        <v>34</v>
      </c>
      <c r="C9" s="121"/>
      <c r="D9" s="121"/>
      <c r="E9" s="121"/>
      <c r="F9" s="121"/>
      <c r="G9" s="121"/>
    </row>
    <row r="10" spans="2:41" ht="15" customHeight="1" x14ac:dyDescent="0.3">
      <c r="B10" s="122" t="s">
        <v>35</v>
      </c>
      <c r="C10" s="123"/>
      <c r="D10" s="123"/>
      <c r="E10" s="123"/>
      <c r="F10" s="123"/>
      <c r="G10" s="123"/>
      <c r="H10" s="123"/>
      <c r="I10" s="123"/>
      <c r="N10" s="115"/>
    </row>
    <row r="11" spans="2:41" ht="15" customHeight="1" x14ac:dyDescent="0.3"/>
    <row r="12" spans="2:41" ht="22.5" customHeight="1" x14ac:dyDescent="0.3">
      <c r="B12" s="128" t="s">
        <v>36</v>
      </c>
      <c r="C12" s="128"/>
      <c r="D12" s="128"/>
      <c r="E12" s="128"/>
      <c r="F12" s="128"/>
      <c r="G12" s="128"/>
      <c r="H12" s="129"/>
      <c r="I12" s="130" t="s">
        <v>37</v>
      </c>
      <c r="J12" s="128"/>
      <c r="K12" s="128"/>
      <c r="L12" s="128"/>
      <c r="M12" s="128"/>
      <c r="N12" s="128"/>
      <c r="O12" s="129"/>
      <c r="P12" s="130" t="s">
        <v>38</v>
      </c>
      <c r="Q12" s="128"/>
      <c r="R12" s="128"/>
      <c r="S12" s="128"/>
      <c r="T12" s="128"/>
      <c r="U12" s="128"/>
      <c r="V12" s="128"/>
      <c r="W12" s="129"/>
      <c r="X12" s="130" t="s">
        <v>39</v>
      </c>
      <c r="Y12" s="128"/>
      <c r="Z12" s="128"/>
      <c r="AA12" s="128"/>
      <c r="AB12" s="128"/>
      <c r="AC12" s="128"/>
      <c r="AD12" s="128"/>
    </row>
    <row r="13" spans="2:41" ht="43.2" x14ac:dyDescent="0.3">
      <c r="B13" s="127" t="s">
        <v>40</v>
      </c>
      <c r="C13" s="127" t="s">
        <v>41</v>
      </c>
      <c r="D13" s="127" t="s">
        <v>42</v>
      </c>
      <c r="E13" s="127" t="s">
        <v>43</v>
      </c>
      <c r="F13" s="127" t="s">
        <v>44</v>
      </c>
      <c r="G13" s="127" t="s">
        <v>45</v>
      </c>
      <c r="H13" s="127" t="s">
        <v>46</v>
      </c>
      <c r="I13" s="127" t="s">
        <v>47</v>
      </c>
      <c r="J13" s="127" t="s">
        <v>48</v>
      </c>
      <c r="K13" s="127" t="s">
        <v>49</v>
      </c>
      <c r="L13" s="127" t="s">
        <v>50</v>
      </c>
      <c r="M13" s="127" t="s">
        <v>51</v>
      </c>
      <c r="N13" s="127" t="s">
        <v>52</v>
      </c>
      <c r="O13" s="127" t="s">
        <v>53</v>
      </c>
      <c r="P13" s="127" t="s">
        <v>54</v>
      </c>
      <c r="Q13" s="127" t="s">
        <v>55</v>
      </c>
      <c r="R13" s="127" t="s">
        <v>56</v>
      </c>
      <c r="S13" s="127" t="s">
        <v>57</v>
      </c>
      <c r="T13" s="127" t="s">
        <v>58</v>
      </c>
      <c r="U13" s="127" t="s">
        <v>59</v>
      </c>
      <c r="V13" s="127" t="s">
        <v>60</v>
      </c>
      <c r="W13" s="127" t="s">
        <v>61</v>
      </c>
      <c r="X13" s="127" t="s">
        <v>62</v>
      </c>
      <c r="Y13" s="127" t="s">
        <v>63</v>
      </c>
      <c r="Z13" s="127" t="s">
        <v>64</v>
      </c>
      <c r="AA13" s="127" t="s">
        <v>65</v>
      </c>
      <c r="AB13" s="127" t="s">
        <v>66</v>
      </c>
      <c r="AC13" s="127" t="s">
        <v>67</v>
      </c>
      <c r="AD13" s="127" t="s">
        <v>68</v>
      </c>
      <c r="AE13" s="112"/>
      <c r="AF13" s="112"/>
      <c r="AG13" s="112"/>
      <c r="AH13" s="112"/>
      <c r="AI13" s="112"/>
      <c r="AJ13" s="112"/>
      <c r="AK13" s="112"/>
      <c r="AL13" s="112"/>
      <c r="AM13" s="112"/>
      <c r="AN13" s="112"/>
      <c r="AO13" s="112"/>
    </row>
    <row r="14" spans="2:41" ht="331.2" x14ac:dyDescent="0.3">
      <c r="B14" s="124" t="s">
        <v>69</v>
      </c>
      <c r="C14" s="124" t="s">
        <v>70</v>
      </c>
      <c r="D14" s="124" t="s">
        <v>71</v>
      </c>
      <c r="E14" s="124" t="s">
        <v>72</v>
      </c>
      <c r="F14" s="124" t="s">
        <v>73</v>
      </c>
      <c r="G14" s="124" t="s">
        <v>74</v>
      </c>
      <c r="H14" s="124" t="s">
        <v>75</v>
      </c>
      <c r="I14" s="124" t="s">
        <v>76</v>
      </c>
      <c r="J14" s="124">
        <v>4</v>
      </c>
      <c r="K14" s="124" t="s">
        <v>77</v>
      </c>
      <c r="L14" s="124">
        <v>5</v>
      </c>
      <c r="M14" s="124" t="s">
        <v>78</v>
      </c>
      <c r="N14" s="114">
        <f>IFERROR(RiskAssessment[[#This Row],[ الاحتمالية]]*RiskAssessment[[#This Row],[ التأثير]],"غير محسوب")</f>
        <v>20</v>
      </c>
      <c r="O14" s="123" t="str">
        <f t="shared" ref="O14:O45" si="0">IF(N14="غير محسوب","غير محسوب",IF(N14&gt;=16,"حرج",IF(N14&gt;=11,"مرتفع",IF(N14&gt;=5,"متوسط","منخفض"))))</f>
        <v>حرج</v>
      </c>
      <c r="P14" s="124" t="s">
        <v>79</v>
      </c>
      <c r="Q14" s="124" t="s">
        <v>80</v>
      </c>
      <c r="R14" s="124" t="s">
        <v>81</v>
      </c>
      <c r="S14" s="125">
        <v>4200000</v>
      </c>
      <c r="T14" s="124" t="s">
        <v>75</v>
      </c>
      <c r="U14" s="116" t="s">
        <v>82</v>
      </c>
      <c r="V14" s="116">
        <v>0.35</v>
      </c>
      <c r="W14" s="124" t="s">
        <v>83</v>
      </c>
      <c r="X14" s="116">
        <v>2</v>
      </c>
      <c r="Y14" s="124" t="s">
        <v>84</v>
      </c>
      <c r="Z14" s="124">
        <v>4</v>
      </c>
      <c r="AA14" s="124" t="s">
        <v>85</v>
      </c>
      <c r="AB14" s="114">
        <f>IFERROR(RiskAssessment[[#This Row],[ الاحتمالية بعد المعالجة]]*RiskAssessment[[#This Row],[ التأثير بعد المعالجة]],"غير محسوب")</f>
        <v>8</v>
      </c>
      <c r="AC14" s="123" t="str">
        <f t="shared" ref="AC14:AC45" si="1">IF(AB14="غير محسوب","غير محسوب",IF(AB14&gt;=16,"حرج",IF(AB14&gt;=11,"مرتفع",IF(AB14&gt;=5,"متوسط","منخفض"))))</f>
        <v>متوسط</v>
      </c>
      <c r="AD14" s="124" t="s">
        <v>86</v>
      </c>
    </row>
    <row r="15" spans="2:41" ht="388.8" x14ac:dyDescent="0.3">
      <c r="B15" s="124" t="s">
        <v>87</v>
      </c>
      <c r="C15" s="124" t="s">
        <v>70</v>
      </c>
      <c r="D15" s="124" t="s">
        <v>88</v>
      </c>
      <c r="E15" s="124" t="s">
        <v>89</v>
      </c>
      <c r="F15" s="124" t="s">
        <v>90</v>
      </c>
      <c r="G15" s="124" t="s">
        <v>91</v>
      </c>
      <c r="H15" s="124" t="s">
        <v>92</v>
      </c>
      <c r="I15" s="124" t="s">
        <v>93</v>
      </c>
      <c r="J15" s="124">
        <v>4</v>
      </c>
      <c r="K15" s="124" t="s">
        <v>94</v>
      </c>
      <c r="L15" s="124">
        <v>4</v>
      </c>
      <c r="M15" s="124" t="s">
        <v>95</v>
      </c>
      <c r="N15" s="114">
        <f>IFERROR(RiskAssessment[[#This Row],[ الاحتمالية]]*RiskAssessment[[#This Row],[ التأثير]],"غير محسوب")</f>
        <v>16</v>
      </c>
      <c r="O15" s="123" t="str">
        <f t="shared" si="0"/>
        <v>حرج</v>
      </c>
      <c r="P15" s="124" t="s">
        <v>79</v>
      </c>
      <c r="Q15" s="124" t="s">
        <v>96</v>
      </c>
      <c r="R15" s="124" t="s">
        <v>97</v>
      </c>
      <c r="S15" s="125">
        <v>1500000</v>
      </c>
      <c r="T15" s="124" t="s">
        <v>92</v>
      </c>
      <c r="U15" s="116" t="s">
        <v>98</v>
      </c>
      <c r="V15" s="116">
        <v>0.6</v>
      </c>
      <c r="W15" s="124" t="s">
        <v>83</v>
      </c>
      <c r="X15" s="116">
        <v>2</v>
      </c>
      <c r="Y15" s="124" t="s">
        <v>99</v>
      </c>
      <c r="Z15" s="124">
        <v>4</v>
      </c>
      <c r="AA15" s="124" t="s">
        <v>100</v>
      </c>
      <c r="AB15" s="114">
        <f>IFERROR(RiskAssessment[[#This Row],[ الاحتمالية بعد المعالجة]]*RiskAssessment[[#This Row],[ التأثير بعد المعالجة]],"غير محسوب")</f>
        <v>8</v>
      </c>
      <c r="AC15" s="123" t="str">
        <f t="shared" si="1"/>
        <v>متوسط</v>
      </c>
      <c r="AD15" s="124" t="s">
        <v>101</v>
      </c>
    </row>
    <row r="16" spans="2:41" ht="360" x14ac:dyDescent="0.3">
      <c r="B16" s="124" t="s">
        <v>102</v>
      </c>
      <c r="C16" s="124" t="s">
        <v>103</v>
      </c>
      <c r="D16" s="124" t="s">
        <v>104</v>
      </c>
      <c r="E16" s="124" t="s">
        <v>105</v>
      </c>
      <c r="F16" s="124" t="s">
        <v>106</v>
      </c>
      <c r="G16" s="124" t="s">
        <v>91</v>
      </c>
      <c r="H16" s="124" t="s">
        <v>107</v>
      </c>
      <c r="I16" s="124" t="s">
        <v>108</v>
      </c>
      <c r="J16" s="124">
        <v>4</v>
      </c>
      <c r="K16" s="124" t="s">
        <v>109</v>
      </c>
      <c r="L16" s="124">
        <v>4</v>
      </c>
      <c r="M16" s="124" t="s">
        <v>110</v>
      </c>
      <c r="N16" s="114">
        <f>IFERROR(RiskAssessment[[#This Row],[ الاحتمالية]]*RiskAssessment[[#This Row],[ التأثير]],"غير محسوب")</f>
        <v>16</v>
      </c>
      <c r="O16" s="123" t="str">
        <f t="shared" si="0"/>
        <v>حرج</v>
      </c>
      <c r="P16" s="124" t="s">
        <v>79</v>
      </c>
      <c r="Q16" s="124" t="s">
        <v>111</v>
      </c>
      <c r="R16" s="124" t="s">
        <v>112</v>
      </c>
      <c r="S16" s="125">
        <v>900000</v>
      </c>
      <c r="T16" s="124" t="s">
        <v>113</v>
      </c>
      <c r="U16" s="116" t="s">
        <v>114</v>
      </c>
      <c r="V16" s="116">
        <v>0.7</v>
      </c>
      <c r="W16" s="124" t="s">
        <v>83</v>
      </c>
      <c r="X16" s="116">
        <v>2</v>
      </c>
      <c r="Y16" s="124" t="s">
        <v>115</v>
      </c>
      <c r="Z16" s="124">
        <v>3</v>
      </c>
      <c r="AA16" s="124" t="s">
        <v>116</v>
      </c>
      <c r="AB16" s="114">
        <f>IFERROR(RiskAssessment[[#This Row],[ الاحتمالية بعد المعالجة]]*RiskAssessment[[#This Row],[ التأثير بعد المعالجة]],"غير محسوب")</f>
        <v>6</v>
      </c>
      <c r="AC16" s="123" t="str">
        <f t="shared" si="1"/>
        <v>متوسط</v>
      </c>
      <c r="AD16" s="124" t="s">
        <v>117</v>
      </c>
    </row>
    <row r="17" spans="2:30" ht="360" x14ac:dyDescent="0.3">
      <c r="B17" s="124" t="s">
        <v>118</v>
      </c>
      <c r="C17" s="124" t="s">
        <v>103</v>
      </c>
      <c r="D17" s="124" t="s">
        <v>119</v>
      </c>
      <c r="E17" s="124" t="s">
        <v>120</v>
      </c>
      <c r="F17" s="124" t="s">
        <v>121</v>
      </c>
      <c r="G17" s="124" t="s">
        <v>91</v>
      </c>
      <c r="H17" s="124" t="s">
        <v>107</v>
      </c>
      <c r="I17" s="124" t="s">
        <v>122</v>
      </c>
      <c r="J17" s="124">
        <v>3</v>
      </c>
      <c r="K17" s="124" t="s">
        <v>123</v>
      </c>
      <c r="L17" s="124">
        <v>3</v>
      </c>
      <c r="M17" s="124" t="s">
        <v>124</v>
      </c>
      <c r="N17" s="114">
        <f>IFERROR(RiskAssessment[[#This Row],[ الاحتمالية]]*RiskAssessment[[#This Row],[ التأثير]],"غير محسوب")</f>
        <v>9</v>
      </c>
      <c r="O17" s="123" t="str">
        <f t="shared" si="0"/>
        <v>متوسط</v>
      </c>
      <c r="P17" s="124" t="s">
        <v>79</v>
      </c>
      <c r="Q17" s="124" t="s">
        <v>125</v>
      </c>
      <c r="R17" s="126" t="s">
        <v>126</v>
      </c>
      <c r="S17" s="125">
        <v>250000</v>
      </c>
      <c r="T17" s="124" t="s">
        <v>107</v>
      </c>
      <c r="U17" s="117" t="s">
        <v>127</v>
      </c>
      <c r="V17" s="116">
        <v>0.4</v>
      </c>
      <c r="W17" s="124" t="s">
        <v>83</v>
      </c>
      <c r="X17" s="116">
        <v>2</v>
      </c>
      <c r="Y17" s="124" t="s">
        <v>128</v>
      </c>
      <c r="Z17" s="124">
        <v>3</v>
      </c>
      <c r="AA17" s="124" t="s">
        <v>129</v>
      </c>
      <c r="AB17" s="114">
        <f>IFERROR(RiskAssessment[[#This Row],[ الاحتمالية بعد المعالجة]]*RiskAssessment[[#This Row],[ التأثير بعد المعالجة]],"غير محسوب")</f>
        <v>6</v>
      </c>
      <c r="AC17" s="123" t="str">
        <f t="shared" si="1"/>
        <v>متوسط</v>
      </c>
      <c r="AD17" s="124" t="s">
        <v>130</v>
      </c>
    </row>
    <row r="18" spans="2:30" ht="360" x14ac:dyDescent="0.3">
      <c r="B18" s="124" t="s">
        <v>131</v>
      </c>
      <c r="C18" s="124" t="s">
        <v>132</v>
      </c>
      <c r="D18" s="124" t="s">
        <v>133</v>
      </c>
      <c r="E18" s="124" t="s">
        <v>134</v>
      </c>
      <c r="F18" s="124" t="s">
        <v>135</v>
      </c>
      <c r="G18" s="124" t="s">
        <v>91</v>
      </c>
      <c r="H18" s="124" t="s">
        <v>75</v>
      </c>
      <c r="I18" s="124" t="s">
        <v>136</v>
      </c>
      <c r="J18" s="124">
        <v>4</v>
      </c>
      <c r="K18" s="124" t="s">
        <v>137</v>
      </c>
      <c r="L18" s="124">
        <v>4</v>
      </c>
      <c r="M18" s="124" t="s">
        <v>138</v>
      </c>
      <c r="N18" s="114">
        <f>IFERROR(RiskAssessment[[#This Row],[ الاحتمالية]]*RiskAssessment[[#This Row],[ التأثير]],"غير محسوب")</f>
        <v>16</v>
      </c>
      <c r="O18" s="123" t="str">
        <f t="shared" si="0"/>
        <v>حرج</v>
      </c>
      <c r="P18" s="124" t="s">
        <v>79</v>
      </c>
      <c r="Q18" s="124" t="s">
        <v>139</v>
      </c>
      <c r="R18" s="124" t="s">
        <v>140</v>
      </c>
      <c r="S18" s="125">
        <v>1100000</v>
      </c>
      <c r="T18" s="124" t="s">
        <v>141</v>
      </c>
      <c r="U18" s="116" t="s">
        <v>142</v>
      </c>
      <c r="V18" s="116">
        <v>0.2</v>
      </c>
      <c r="W18" s="124" t="s">
        <v>83</v>
      </c>
      <c r="X18" s="116">
        <v>2</v>
      </c>
      <c r="Y18" s="124" t="s">
        <v>143</v>
      </c>
      <c r="Z18" s="124">
        <v>4</v>
      </c>
      <c r="AA18" s="124" t="s">
        <v>144</v>
      </c>
      <c r="AB18" s="114">
        <f>IFERROR(RiskAssessment[[#This Row],[ الاحتمالية بعد المعالجة]]*RiskAssessment[[#This Row],[ التأثير بعد المعالجة]],"غير محسوب")</f>
        <v>8</v>
      </c>
      <c r="AC18" s="123" t="str">
        <f t="shared" si="1"/>
        <v>متوسط</v>
      </c>
      <c r="AD18" s="124" t="s">
        <v>145</v>
      </c>
    </row>
    <row r="19" spans="2:30" ht="403.2" x14ac:dyDescent="0.3">
      <c r="B19" s="124" t="s">
        <v>146</v>
      </c>
      <c r="C19" s="124" t="s">
        <v>147</v>
      </c>
      <c r="D19" s="124" t="s">
        <v>148</v>
      </c>
      <c r="E19" s="124" t="s">
        <v>149</v>
      </c>
      <c r="F19" s="124" t="s">
        <v>150</v>
      </c>
      <c r="G19" s="124" t="s">
        <v>151</v>
      </c>
      <c r="H19" s="124" t="s">
        <v>152</v>
      </c>
      <c r="I19" s="124" t="s">
        <v>153</v>
      </c>
      <c r="J19" s="124">
        <v>4</v>
      </c>
      <c r="K19" s="124" t="s">
        <v>154</v>
      </c>
      <c r="L19" s="124">
        <v>3</v>
      </c>
      <c r="M19" s="124" t="s">
        <v>155</v>
      </c>
      <c r="N19" s="114">
        <f>IFERROR(RiskAssessment[[#This Row],[ الاحتمالية]]*RiskAssessment[[#This Row],[ التأثير]],"غير محسوب")</f>
        <v>12</v>
      </c>
      <c r="O19" s="123" t="str">
        <f t="shared" si="0"/>
        <v>مرتفع</v>
      </c>
      <c r="P19" s="124" t="s">
        <v>79</v>
      </c>
      <c r="Q19" s="124" t="s">
        <v>156</v>
      </c>
      <c r="R19" s="124" t="s">
        <v>157</v>
      </c>
      <c r="S19" s="125">
        <v>180000</v>
      </c>
      <c r="T19" s="124" t="s">
        <v>141</v>
      </c>
      <c r="U19" s="116" t="s">
        <v>127</v>
      </c>
      <c r="V19" s="116">
        <v>0.75</v>
      </c>
      <c r="W19" s="124" t="s">
        <v>83</v>
      </c>
      <c r="X19" s="116">
        <v>2</v>
      </c>
      <c r="Y19" s="124" t="s">
        <v>158</v>
      </c>
      <c r="Z19" s="124">
        <v>3</v>
      </c>
      <c r="AA19" s="124" t="s">
        <v>159</v>
      </c>
      <c r="AB19" s="114">
        <f>IFERROR(RiskAssessment[[#This Row],[ الاحتمالية بعد المعالجة]]*RiskAssessment[[#This Row],[ التأثير بعد المعالجة]],"غير محسوب")</f>
        <v>6</v>
      </c>
      <c r="AC19" s="123" t="str">
        <f t="shared" si="1"/>
        <v>متوسط</v>
      </c>
      <c r="AD19" s="124" t="s">
        <v>160</v>
      </c>
    </row>
    <row r="20" spans="2:30" ht="345.6" x14ac:dyDescent="0.3">
      <c r="B20" s="124" t="s">
        <v>161</v>
      </c>
      <c r="C20" s="124" t="s">
        <v>162</v>
      </c>
      <c r="D20" s="124" t="s">
        <v>163</v>
      </c>
      <c r="E20" s="124" t="s">
        <v>164</v>
      </c>
      <c r="F20" s="124" t="s">
        <v>165</v>
      </c>
      <c r="G20" s="124" t="s">
        <v>151</v>
      </c>
      <c r="H20" s="124" t="s">
        <v>166</v>
      </c>
      <c r="I20" s="124" t="s">
        <v>167</v>
      </c>
      <c r="J20" s="124">
        <v>3</v>
      </c>
      <c r="K20" s="124" t="s">
        <v>168</v>
      </c>
      <c r="L20" s="124">
        <v>4</v>
      </c>
      <c r="M20" s="124" t="s">
        <v>169</v>
      </c>
      <c r="N20" s="114">
        <f>IFERROR(RiskAssessment[[#This Row],[ الاحتمالية]]*RiskAssessment[[#This Row],[ التأثير]],"غير محسوب")</f>
        <v>12</v>
      </c>
      <c r="O20" s="123" t="str">
        <f t="shared" si="0"/>
        <v>مرتفع</v>
      </c>
      <c r="P20" s="124" t="s">
        <v>79</v>
      </c>
      <c r="Q20" s="124" t="s">
        <v>170</v>
      </c>
      <c r="R20" s="124" t="s">
        <v>171</v>
      </c>
      <c r="S20" s="125">
        <v>320000</v>
      </c>
      <c r="T20" s="124" t="s">
        <v>166</v>
      </c>
      <c r="U20" s="116" t="s">
        <v>127</v>
      </c>
      <c r="V20" s="116">
        <v>0.85</v>
      </c>
      <c r="W20" s="124" t="s">
        <v>83</v>
      </c>
      <c r="X20" s="116">
        <v>2</v>
      </c>
      <c r="Y20" s="124" t="s">
        <v>172</v>
      </c>
      <c r="Z20" s="124">
        <v>2</v>
      </c>
      <c r="AA20" s="124" t="s">
        <v>173</v>
      </c>
      <c r="AB20" s="114">
        <f>IFERROR(RiskAssessment[[#This Row],[ الاحتمالية بعد المعالجة]]*RiskAssessment[[#This Row],[ التأثير بعد المعالجة]],"غير محسوب")</f>
        <v>4</v>
      </c>
      <c r="AC20" s="123" t="str">
        <f t="shared" si="1"/>
        <v>منخفض</v>
      </c>
      <c r="AD20" s="124" t="s">
        <v>174</v>
      </c>
    </row>
    <row r="21" spans="2:30" ht="316.8" x14ac:dyDescent="0.3">
      <c r="B21" s="124" t="s">
        <v>175</v>
      </c>
      <c r="C21" s="124" t="s">
        <v>132</v>
      </c>
      <c r="D21" s="124" t="s">
        <v>176</v>
      </c>
      <c r="E21" s="124" t="s">
        <v>177</v>
      </c>
      <c r="F21" s="124" t="s">
        <v>178</v>
      </c>
      <c r="G21" s="124" t="s">
        <v>179</v>
      </c>
      <c r="H21" s="124" t="s">
        <v>141</v>
      </c>
      <c r="I21" s="124" t="s">
        <v>180</v>
      </c>
      <c r="J21" s="124">
        <v>3</v>
      </c>
      <c r="K21" s="124" t="s">
        <v>181</v>
      </c>
      <c r="L21" s="124">
        <v>3</v>
      </c>
      <c r="M21" s="124" t="s">
        <v>182</v>
      </c>
      <c r="N21" s="114">
        <f>IFERROR(RiskAssessment[[#This Row],[ الاحتمالية]]*RiskAssessment[[#This Row],[ التأثير]],"غير محسوب")</f>
        <v>9</v>
      </c>
      <c r="O21" s="123" t="str">
        <f t="shared" si="0"/>
        <v>متوسط</v>
      </c>
      <c r="P21" s="124" t="s">
        <v>79</v>
      </c>
      <c r="Q21" s="124" t="s">
        <v>183</v>
      </c>
      <c r="R21" s="124" t="s">
        <v>184</v>
      </c>
      <c r="S21" s="125">
        <v>90000</v>
      </c>
      <c r="T21" s="124" t="s">
        <v>141</v>
      </c>
      <c r="U21" s="116" t="s">
        <v>185</v>
      </c>
      <c r="V21" s="116">
        <v>1</v>
      </c>
      <c r="W21" s="124" t="s">
        <v>186</v>
      </c>
      <c r="X21" s="116">
        <v>1</v>
      </c>
      <c r="Y21" s="124" t="s">
        <v>187</v>
      </c>
      <c r="Z21" s="124">
        <v>3</v>
      </c>
      <c r="AA21" s="124" t="s">
        <v>188</v>
      </c>
      <c r="AB21" s="114">
        <f>IFERROR(RiskAssessment[[#This Row],[ الاحتمالية بعد المعالجة]]*RiskAssessment[[#This Row],[ التأثير بعد المعالجة]],"غير محسوب")</f>
        <v>3</v>
      </c>
      <c r="AC21" s="123" t="str">
        <f t="shared" si="1"/>
        <v>منخفض</v>
      </c>
      <c r="AD21" s="124" t="s">
        <v>189</v>
      </c>
    </row>
    <row r="22" spans="2:30" ht="345.6" x14ac:dyDescent="0.3">
      <c r="B22" s="124" t="s">
        <v>190</v>
      </c>
      <c r="C22" s="124" t="s">
        <v>191</v>
      </c>
      <c r="D22" s="124" t="s">
        <v>192</v>
      </c>
      <c r="E22" s="124" t="s">
        <v>193</v>
      </c>
      <c r="F22" s="124" t="s">
        <v>194</v>
      </c>
      <c r="G22" s="124" t="s">
        <v>195</v>
      </c>
      <c r="H22" s="124" t="s">
        <v>141</v>
      </c>
      <c r="I22" s="124" t="s">
        <v>196</v>
      </c>
      <c r="J22" s="124">
        <v>3</v>
      </c>
      <c r="K22" s="124" t="s">
        <v>197</v>
      </c>
      <c r="L22" s="124">
        <v>5</v>
      </c>
      <c r="M22" s="124" t="s">
        <v>198</v>
      </c>
      <c r="N22" s="114">
        <f>IFERROR(RiskAssessment[[#This Row],[ الاحتمالية]]*RiskAssessment[[#This Row],[ التأثير]],"غير محسوب")</f>
        <v>15</v>
      </c>
      <c r="O22" s="123" t="str">
        <f t="shared" si="0"/>
        <v>مرتفع</v>
      </c>
      <c r="P22" s="124" t="s">
        <v>79</v>
      </c>
      <c r="Q22" s="124" t="s">
        <v>199</v>
      </c>
      <c r="R22" s="124" t="s">
        <v>200</v>
      </c>
      <c r="S22" s="125">
        <v>450000</v>
      </c>
      <c r="T22" s="124" t="s">
        <v>75</v>
      </c>
      <c r="U22" s="116" t="s">
        <v>127</v>
      </c>
      <c r="V22" s="116">
        <v>0.8</v>
      </c>
      <c r="W22" s="124" t="s">
        <v>83</v>
      </c>
      <c r="X22" s="116">
        <v>1</v>
      </c>
      <c r="Y22" s="124" t="s">
        <v>201</v>
      </c>
      <c r="Z22" s="124">
        <v>4</v>
      </c>
      <c r="AA22" s="124" t="s">
        <v>202</v>
      </c>
      <c r="AB22" s="114">
        <f>IFERROR(RiskAssessment[[#This Row],[ الاحتمالية بعد المعالجة]]*RiskAssessment[[#This Row],[ التأثير بعد المعالجة]],"غير محسوب")</f>
        <v>4</v>
      </c>
      <c r="AC22" s="123" t="str">
        <f t="shared" si="1"/>
        <v>منخفض</v>
      </c>
      <c r="AD22" s="124" t="s">
        <v>203</v>
      </c>
    </row>
    <row r="23" spans="2:30" ht="316.8" x14ac:dyDescent="0.3">
      <c r="B23" s="124" t="s">
        <v>204</v>
      </c>
      <c r="C23" s="124" t="s">
        <v>103</v>
      </c>
      <c r="D23" s="124" t="s">
        <v>205</v>
      </c>
      <c r="E23" s="124" t="s">
        <v>206</v>
      </c>
      <c r="F23" s="124" t="s">
        <v>207</v>
      </c>
      <c r="G23" s="124" t="s">
        <v>179</v>
      </c>
      <c r="H23" s="124" t="s">
        <v>75</v>
      </c>
      <c r="I23" s="124" t="s">
        <v>208</v>
      </c>
      <c r="J23" s="124">
        <v>4</v>
      </c>
      <c r="K23" s="124" t="s">
        <v>209</v>
      </c>
      <c r="L23" s="124">
        <v>4</v>
      </c>
      <c r="M23" s="124" t="s">
        <v>210</v>
      </c>
      <c r="N23" s="114">
        <f>IFERROR(RiskAssessment[[#This Row],[ الاحتمالية]]*RiskAssessment[[#This Row],[ التأثير]],"غير محسوب")</f>
        <v>16</v>
      </c>
      <c r="O23" s="123" t="str">
        <f t="shared" si="0"/>
        <v>حرج</v>
      </c>
      <c r="P23" s="124" t="s">
        <v>79</v>
      </c>
      <c r="Q23" s="124" t="s">
        <v>211</v>
      </c>
      <c r="R23" s="124" t="s">
        <v>212</v>
      </c>
      <c r="S23" s="125">
        <v>1350000</v>
      </c>
      <c r="T23" s="124" t="s">
        <v>141</v>
      </c>
      <c r="U23" s="116" t="s">
        <v>82</v>
      </c>
      <c r="V23" s="116">
        <v>0.25</v>
      </c>
      <c r="W23" s="124" t="s">
        <v>83</v>
      </c>
      <c r="X23" s="116">
        <v>3</v>
      </c>
      <c r="Y23" s="124" t="s">
        <v>213</v>
      </c>
      <c r="Z23" s="124">
        <v>4</v>
      </c>
      <c r="AA23" s="124" t="s">
        <v>214</v>
      </c>
      <c r="AB23" s="114">
        <f>IFERROR(RiskAssessment[[#This Row],[ الاحتمالية بعد المعالجة]]*RiskAssessment[[#This Row],[ التأثير بعد المعالجة]],"غير محسوب")</f>
        <v>12</v>
      </c>
      <c r="AC23" s="123" t="str">
        <f t="shared" si="1"/>
        <v>مرتفع</v>
      </c>
      <c r="AD23" s="124" t="s">
        <v>215</v>
      </c>
    </row>
    <row r="24" spans="2:30" ht="316.8" x14ac:dyDescent="0.3">
      <c r="B24" s="124" t="s">
        <v>216</v>
      </c>
      <c r="C24" s="124" t="s">
        <v>162</v>
      </c>
      <c r="D24" s="124" t="s">
        <v>217</v>
      </c>
      <c r="E24" s="124" t="s">
        <v>218</v>
      </c>
      <c r="F24" s="124" t="s">
        <v>219</v>
      </c>
      <c r="G24" s="124" t="s">
        <v>195</v>
      </c>
      <c r="H24" s="124" t="s">
        <v>141</v>
      </c>
      <c r="I24" s="124" t="s">
        <v>220</v>
      </c>
      <c r="J24" s="124">
        <v>2</v>
      </c>
      <c r="K24" s="124" t="s">
        <v>221</v>
      </c>
      <c r="L24" s="124">
        <v>5</v>
      </c>
      <c r="M24" s="124" t="s">
        <v>222</v>
      </c>
      <c r="N24" s="114">
        <f>IFERROR(RiskAssessment[[#This Row],[ الاحتمالية]]*RiskAssessment[[#This Row],[ التأثير]],"غير محسوب")</f>
        <v>10</v>
      </c>
      <c r="O24" s="123" t="str">
        <f t="shared" si="0"/>
        <v>متوسط</v>
      </c>
      <c r="P24" s="124" t="s">
        <v>79</v>
      </c>
      <c r="Q24" s="124" t="s">
        <v>223</v>
      </c>
      <c r="R24" s="124" t="s">
        <v>224</v>
      </c>
      <c r="S24" s="125">
        <v>780000</v>
      </c>
      <c r="T24" s="124" t="s">
        <v>141</v>
      </c>
      <c r="U24" s="116" t="s">
        <v>82</v>
      </c>
      <c r="V24" s="116">
        <v>0.45</v>
      </c>
      <c r="W24" s="124" t="s">
        <v>83</v>
      </c>
      <c r="X24" s="116">
        <v>1</v>
      </c>
      <c r="Y24" s="124" t="s">
        <v>225</v>
      </c>
      <c r="Z24" s="124">
        <v>4</v>
      </c>
      <c r="AA24" s="124" t="s">
        <v>226</v>
      </c>
      <c r="AB24" s="114">
        <f>IFERROR(RiskAssessment[[#This Row],[ الاحتمالية بعد المعالجة]]*RiskAssessment[[#This Row],[ التأثير بعد المعالجة]],"غير محسوب")</f>
        <v>4</v>
      </c>
      <c r="AC24" s="123" t="str">
        <f t="shared" si="1"/>
        <v>منخفض</v>
      </c>
      <c r="AD24" s="124" t="s">
        <v>227</v>
      </c>
    </row>
    <row r="25" spans="2:30" ht="360" x14ac:dyDescent="0.3">
      <c r="B25" s="124" t="s">
        <v>228</v>
      </c>
      <c r="C25" s="124" t="s">
        <v>229</v>
      </c>
      <c r="D25" s="124" t="s">
        <v>230</v>
      </c>
      <c r="E25" s="124" t="s">
        <v>231</v>
      </c>
      <c r="F25" s="124" t="s">
        <v>232</v>
      </c>
      <c r="G25" s="124" t="s">
        <v>179</v>
      </c>
      <c r="H25" s="124" t="s">
        <v>233</v>
      </c>
      <c r="I25" s="124" t="s">
        <v>234</v>
      </c>
      <c r="J25" s="124">
        <v>2</v>
      </c>
      <c r="K25" s="124" t="s">
        <v>235</v>
      </c>
      <c r="L25" s="124">
        <v>5</v>
      </c>
      <c r="M25" s="124" t="s">
        <v>236</v>
      </c>
      <c r="N25" s="114">
        <f>IFERROR(RiskAssessment[[#This Row],[ الاحتمالية]]*RiskAssessment[[#This Row],[ التأثير]],"غير محسوب")</f>
        <v>10</v>
      </c>
      <c r="O25" s="123" t="str">
        <f t="shared" si="0"/>
        <v>متوسط</v>
      </c>
      <c r="P25" s="124" t="s">
        <v>79</v>
      </c>
      <c r="Q25" s="124" t="s">
        <v>237</v>
      </c>
      <c r="R25" s="124" t="s">
        <v>238</v>
      </c>
      <c r="S25" s="125">
        <v>650000</v>
      </c>
      <c r="T25" s="124" t="s">
        <v>75</v>
      </c>
      <c r="U25" s="116" t="s">
        <v>98</v>
      </c>
      <c r="V25" s="116">
        <v>0.55000000000000004</v>
      </c>
      <c r="W25" s="124" t="s">
        <v>83</v>
      </c>
      <c r="X25" s="116">
        <v>1</v>
      </c>
      <c r="Y25" s="124" t="s">
        <v>239</v>
      </c>
      <c r="Z25" s="124">
        <v>4</v>
      </c>
      <c r="AA25" s="124" t="s">
        <v>240</v>
      </c>
      <c r="AB25" s="114">
        <f>IFERROR(RiskAssessment[[#This Row],[ الاحتمالية بعد المعالجة]]*RiskAssessment[[#This Row],[ التأثير بعد المعالجة]],"غير محسوب")</f>
        <v>4</v>
      </c>
      <c r="AC25" s="123" t="str">
        <f t="shared" si="1"/>
        <v>منخفض</v>
      </c>
      <c r="AD25" s="124" t="s">
        <v>241</v>
      </c>
    </row>
    <row r="26" spans="2:30" ht="403.2" x14ac:dyDescent="0.3">
      <c r="B26" s="124" t="s">
        <v>242</v>
      </c>
      <c r="C26" s="124" t="s">
        <v>243</v>
      </c>
      <c r="D26" s="124" t="s">
        <v>244</v>
      </c>
      <c r="E26" s="124" t="s">
        <v>245</v>
      </c>
      <c r="F26" s="124" t="s">
        <v>246</v>
      </c>
      <c r="G26" s="124" t="s">
        <v>91</v>
      </c>
      <c r="H26" s="124" t="s">
        <v>247</v>
      </c>
      <c r="I26" s="124" t="s">
        <v>248</v>
      </c>
      <c r="J26" s="124">
        <v>3</v>
      </c>
      <c r="K26" s="124" t="s">
        <v>249</v>
      </c>
      <c r="L26" s="124">
        <v>4</v>
      </c>
      <c r="M26" s="124" t="s">
        <v>250</v>
      </c>
      <c r="N26" s="114">
        <f>IFERROR(RiskAssessment[[#This Row],[ الاحتمالية]]*RiskAssessment[[#This Row],[ التأثير]],"غير محسوب")</f>
        <v>12</v>
      </c>
      <c r="O26" s="123" t="str">
        <f t="shared" si="0"/>
        <v>مرتفع</v>
      </c>
      <c r="P26" s="124" t="s">
        <v>79</v>
      </c>
      <c r="Q26" s="124" t="s">
        <v>251</v>
      </c>
      <c r="R26" s="124" t="s">
        <v>252</v>
      </c>
      <c r="S26" s="125">
        <v>300000</v>
      </c>
      <c r="T26" s="124" t="s">
        <v>92</v>
      </c>
      <c r="U26" s="116" t="s">
        <v>98</v>
      </c>
      <c r="V26" s="116">
        <v>0.5</v>
      </c>
      <c r="W26" s="124" t="s">
        <v>83</v>
      </c>
      <c r="X26" s="116">
        <v>2</v>
      </c>
      <c r="Y26" s="124" t="s">
        <v>253</v>
      </c>
      <c r="Z26" s="124">
        <v>4</v>
      </c>
      <c r="AA26" s="124" t="s">
        <v>254</v>
      </c>
      <c r="AB26" s="114">
        <f>IFERROR(RiskAssessment[[#This Row],[ الاحتمالية بعد المعالجة]]*RiskAssessment[[#This Row],[ التأثير بعد المعالجة]],"غير محسوب")</f>
        <v>8</v>
      </c>
      <c r="AC26" s="123" t="str">
        <f t="shared" si="1"/>
        <v>متوسط</v>
      </c>
      <c r="AD26" s="124" t="s">
        <v>255</v>
      </c>
    </row>
    <row r="27" spans="2:30" ht="331.2" x14ac:dyDescent="0.3">
      <c r="B27" s="124" t="s">
        <v>256</v>
      </c>
      <c r="C27" s="124" t="s">
        <v>243</v>
      </c>
      <c r="D27" s="124" t="s">
        <v>257</v>
      </c>
      <c r="E27" s="124" t="s">
        <v>258</v>
      </c>
      <c r="F27" s="124" t="s">
        <v>259</v>
      </c>
      <c r="G27" s="124" t="s">
        <v>260</v>
      </c>
      <c r="H27" s="124" t="s">
        <v>75</v>
      </c>
      <c r="I27" s="124" t="s">
        <v>261</v>
      </c>
      <c r="J27" s="124">
        <v>2</v>
      </c>
      <c r="K27" s="124" t="s">
        <v>262</v>
      </c>
      <c r="L27" s="124">
        <v>3</v>
      </c>
      <c r="M27" s="124" t="s">
        <v>263</v>
      </c>
      <c r="N27" s="114">
        <f>IFERROR(RiskAssessment[[#This Row],[ الاحتمالية]]*RiskAssessment[[#This Row],[ التأثير]],"غير محسوب")</f>
        <v>6</v>
      </c>
      <c r="O27" s="123" t="str">
        <f t="shared" si="0"/>
        <v>متوسط</v>
      </c>
      <c r="P27" s="124" t="s">
        <v>79</v>
      </c>
      <c r="Q27" s="124" t="s">
        <v>264</v>
      </c>
      <c r="R27" s="124" t="s">
        <v>265</v>
      </c>
      <c r="S27" s="125">
        <v>120000</v>
      </c>
      <c r="T27" s="124" t="s">
        <v>141</v>
      </c>
      <c r="U27" s="116" t="s">
        <v>82</v>
      </c>
      <c r="V27" s="116">
        <v>0.3</v>
      </c>
      <c r="W27" s="124" t="s">
        <v>83</v>
      </c>
      <c r="X27" s="116">
        <v>1</v>
      </c>
      <c r="Y27" s="124" t="s">
        <v>266</v>
      </c>
      <c r="Z27" s="124">
        <v>3</v>
      </c>
      <c r="AA27" s="124" t="s">
        <v>267</v>
      </c>
      <c r="AB27" s="114">
        <f>IFERROR(RiskAssessment[[#This Row],[ الاحتمالية بعد المعالجة]]*RiskAssessment[[#This Row],[ التأثير بعد المعالجة]],"غير محسوب")</f>
        <v>3</v>
      </c>
      <c r="AC27" s="123" t="str">
        <f t="shared" si="1"/>
        <v>منخفض</v>
      </c>
      <c r="AD27" s="124" t="s">
        <v>268</v>
      </c>
    </row>
    <row r="28" spans="2:30" ht="409.6" x14ac:dyDescent="0.3">
      <c r="B28" s="124" t="s">
        <v>269</v>
      </c>
      <c r="C28" s="124" t="s">
        <v>132</v>
      </c>
      <c r="D28" s="124" t="s">
        <v>270</v>
      </c>
      <c r="E28" s="124" t="s">
        <v>271</v>
      </c>
      <c r="F28" s="124" t="s">
        <v>272</v>
      </c>
      <c r="G28" s="124" t="s">
        <v>151</v>
      </c>
      <c r="H28" s="124" t="s">
        <v>113</v>
      </c>
      <c r="I28" s="124" t="s">
        <v>273</v>
      </c>
      <c r="J28" s="124">
        <v>4</v>
      </c>
      <c r="K28" s="124" t="s">
        <v>274</v>
      </c>
      <c r="L28" s="124">
        <v>3</v>
      </c>
      <c r="M28" s="124" t="s">
        <v>275</v>
      </c>
      <c r="N28" s="114">
        <f>IFERROR(RiskAssessment[[#This Row],[ الاحتمالية]]*RiskAssessment[[#This Row],[ التأثير]],"غير محسوب")</f>
        <v>12</v>
      </c>
      <c r="O28" s="123" t="str">
        <f t="shared" si="0"/>
        <v>مرتفع</v>
      </c>
      <c r="P28" s="124" t="s">
        <v>276</v>
      </c>
      <c r="Q28" s="124" t="s">
        <v>277</v>
      </c>
      <c r="R28" s="124" t="s">
        <v>278</v>
      </c>
      <c r="S28" s="125">
        <v>380000</v>
      </c>
      <c r="T28" s="124" t="s">
        <v>113</v>
      </c>
      <c r="U28" s="116" t="s">
        <v>82</v>
      </c>
      <c r="V28" s="116">
        <v>0.35</v>
      </c>
      <c r="W28" s="124" t="s">
        <v>83</v>
      </c>
      <c r="X28" s="116">
        <v>2</v>
      </c>
      <c r="Y28" s="124" t="s">
        <v>279</v>
      </c>
      <c r="Z28" s="124">
        <v>2</v>
      </c>
      <c r="AA28" s="124" t="s">
        <v>280</v>
      </c>
      <c r="AB28" s="114">
        <f>IFERROR(RiskAssessment[[#This Row],[ الاحتمالية بعد المعالجة]]*RiskAssessment[[#This Row],[ التأثير بعد المعالجة]],"غير محسوب")</f>
        <v>4</v>
      </c>
      <c r="AC28" s="123" t="str">
        <f t="shared" si="1"/>
        <v>منخفض</v>
      </c>
      <c r="AD28" s="124" t="s">
        <v>281</v>
      </c>
    </row>
    <row r="29" spans="2:30" ht="331.2" x14ac:dyDescent="0.3">
      <c r="B29" s="124" t="s">
        <v>282</v>
      </c>
      <c r="C29" s="124" t="s">
        <v>132</v>
      </c>
      <c r="D29" s="124" t="s">
        <v>283</v>
      </c>
      <c r="E29" s="124" t="s">
        <v>284</v>
      </c>
      <c r="F29" s="124" t="s">
        <v>285</v>
      </c>
      <c r="G29" s="124" t="s">
        <v>91</v>
      </c>
      <c r="H29" s="124" t="s">
        <v>92</v>
      </c>
      <c r="I29" s="124" t="s">
        <v>286</v>
      </c>
      <c r="J29" s="124">
        <v>3</v>
      </c>
      <c r="K29" s="124" t="s">
        <v>287</v>
      </c>
      <c r="L29" s="124">
        <v>4</v>
      </c>
      <c r="M29" s="124" t="s">
        <v>288</v>
      </c>
      <c r="N29" s="114">
        <f>IFERROR(RiskAssessment[[#This Row],[ الاحتمالية]]*RiskAssessment[[#This Row],[ التأثير]],"غير محسوب")</f>
        <v>12</v>
      </c>
      <c r="O29" s="123" t="str">
        <f t="shared" si="0"/>
        <v>مرتفع</v>
      </c>
      <c r="P29" s="124" t="s">
        <v>79</v>
      </c>
      <c r="Q29" s="124" t="s">
        <v>289</v>
      </c>
      <c r="R29" s="124" t="s">
        <v>290</v>
      </c>
      <c r="S29" s="125">
        <v>260000</v>
      </c>
      <c r="T29" s="124" t="s">
        <v>92</v>
      </c>
      <c r="U29" s="116" t="s">
        <v>142</v>
      </c>
      <c r="V29" s="116">
        <v>0.4</v>
      </c>
      <c r="W29" s="124" t="s">
        <v>83</v>
      </c>
      <c r="X29" s="116">
        <v>2</v>
      </c>
      <c r="Y29" s="124" t="s">
        <v>291</v>
      </c>
      <c r="Z29" s="124">
        <v>4</v>
      </c>
      <c r="AA29" s="124" t="s">
        <v>292</v>
      </c>
      <c r="AB29" s="114">
        <f>IFERROR(RiskAssessment[[#This Row],[ الاحتمالية بعد المعالجة]]*RiskAssessment[[#This Row],[ التأثير بعد المعالجة]],"غير محسوب")</f>
        <v>8</v>
      </c>
      <c r="AC29" s="123" t="str">
        <f t="shared" si="1"/>
        <v>متوسط</v>
      </c>
      <c r="AD29" s="124" t="s">
        <v>293</v>
      </c>
    </row>
    <row r="30" spans="2:30" ht="302.39999999999998" x14ac:dyDescent="0.3">
      <c r="B30" s="124" t="s">
        <v>294</v>
      </c>
      <c r="C30" s="124" t="s">
        <v>295</v>
      </c>
      <c r="D30" s="124" t="s">
        <v>296</v>
      </c>
      <c r="E30" s="124" t="s">
        <v>297</v>
      </c>
      <c r="F30" s="124" t="s">
        <v>298</v>
      </c>
      <c r="G30" s="124" t="s">
        <v>195</v>
      </c>
      <c r="H30" s="124" t="s">
        <v>152</v>
      </c>
      <c r="I30" s="124" t="s">
        <v>299</v>
      </c>
      <c r="J30" s="124">
        <v>3</v>
      </c>
      <c r="K30" s="124" t="s">
        <v>300</v>
      </c>
      <c r="L30" s="124">
        <v>4</v>
      </c>
      <c r="M30" s="124" t="s">
        <v>301</v>
      </c>
      <c r="N30" s="114">
        <f>IFERROR(RiskAssessment[[#This Row],[ الاحتمالية]]*RiskAssessment[[#This Row],[ التأثير]],"غير محسوب")</f>
        <v>12</v>
      </c>
      <c r="O30" s="123" t="str">
        <f t="shared" si="0"/>
        <v>مرتفع</v>
      </c>
      <c r="P30" s="124" t="s">
        <v>79</v>
      </c>
      <c r="Q30" s="124" t="s">
        <v>302</v>
      </c>
      <c r="R30" s="124" t="s">
        <v>303</v>
      </c>
      <c r="S30" s="125">
        <v>1800000</v>
      </c>
      <c r="T30" s="124" t="s">
        <v>152</v>
      </c>
      <c r="U30" s="116" t="s">
        <v>304</v>
      </c>
      <c r="V30" s="116">
        <v>0.15</v>
      </c>
      <c r="W30" s="124" t="s">
        <v>83</v>
      </c>
      <c r="X30" s="116">
        <v>3</v>
      </c>
      <c r="Y30" s="124" t="s">
        <v>305</v>
      </c>
      <c r="Z30" s="124">
        <v>4</v>
      </c>
      <c r="AA30" s="124" t="s">
        <v>306</v>
      </c>
      <c r="AB30" s="114">
        <f>IFERROR(RiskAssessment[[#This Row],[ الاحتمالية بعد المعالجة]]*RiskAssessment[[#This Row],[ التأثير بعد المعالجة]],"غير محسوب")</f>
        <v>12</v>
      </c>
      <c r="AC30" s="123" t="str">
        <f t="shared" si="1"/>
        <v>مرتفع</v>
      </c>
      <c r="AD30" s="124" t="s">
        <v>307</v>
      </c>
    </row>
    <row r="31" spans="2:30" ht="360" x14ac:dyDescent="0.3">
      <c r="B31" s="124" t="s">
        <v>308</v>
      </c>
      <c r="C31" s="124" t="s">
        <v>309</v>
      </c>
      <c r="D31" s="124" t="s">
        <v>310</v>
      </c>
      <c r="E31" s="124" t="s">
        <v>311</v>
      </c>
      <c r="F31" s="124" t="s">
        <v>312</v>
      </c>
      <c r="G31" s="124" t="s">
        <v>313</v>
      </c>
      <c r="H31" s="124" t="s">
        <v>314</v>
      </c>
      <c r="I31" s="124" t="s">
        <v>315</v>
      </c>
      <c r="J31" s="124">
        <v>2</v>
      </c>
      <c r="K31" s="124" t="s">
        <v>316</v>
      </c>
      <c r="L31" s="124">
        <v>5</v>
      </c>
      <c r="M31" s="124" t="s">
        <v>317</v>
      </c>
      <c r="N31" s="114">
        <f>IFERROR(RiskAssessment[[#This Row],[ الاحتمالية]]*RiskAssessment[[#This Row],[ التأثير]],"غير محسوب")</f>
        <v>10</v>
      </c>
      <c r="O31" s="123" t="str">
        <f t="shared" si="0"/>
        <v>متوسط</v>
      </c>
      <c r="P31" s="124" t="s">
        <v>79</v>
      </c>
      <c r="Q31" s="124" t="s">
        <v>318</v>
      </c>
      <c r="R31" s="124" t="s">
        <v>319</v>
      </c>
      <c r="S31" s="125">
        <v>150000</v>
      </c>
      <c r="T31" s="124" t="s">
        <v>314</v>
      </c>
      <c r="U31" s="116" t="s">
        <v>127</v>
      </c>
      <c r="V31" s="116">
        <v>0.8</v>
      </c>
      <c r="W31" s="124" t="s">
        <v>83</v>
      </c>
      <c r="X31" s="116">
        <v>1</v>
      </c>
      <c r="Y31" s="124" t="s">
        <v>320</v>
      </c>
      <c r="Z31" s="124">
        <v>4</v>
      </c>
      <c r="AA31" s="124" t="s">
        <v>321</v>
      </c>
      <c r="AB31" s="114">
        <f>IFERROR(RiskAssessment[[#This Row],[ الاحتمالية بعد المعالجة]]*RiskAssessment[[#This Row],[ التأثير بعد المعالجة]],"غير محسوب")</f>
        <v>4</v>
      </c>
      <c r="AC31" s="123" t="str">
        <f t="shared" si="1"/>
        <v>منخفض</v>
      </c>
      <c r="AD31" s="124" t="s">
        <v>322</v>
      </c>
    </row>
    <row r="32" spans="2:30" ht="409.6" x14ac:dyDescent="0.3">
      <c r="B32" s="124" t="s">
        <v>323</v>
      </c>
      <c r="C32" s="124" t="s">
        <v>70</v>
      </c>
      <c r="D32" s="124" t="s">
        <v>324</v>
      </c>
      <c r="E32" s="124" t="s">
        <v>325</v>
      </c>
      <c r="F32" s="124" t="s">
        <v>326</v>
      </c>
      <c r="G32" s="124" t="s">
        <v>151</v>
      </c>
      <c r="H32" s="124" t="s">
        <v>327</v>
      </c>
      <c r="I32" s="124" t="s">
        <v>328</v>
      </c>
      <c r="J32" s="124">
        <v>3</v>
      </c>
      <c r="K32" s="124" t="s">
        <v>329</v>
      </c>
      <c r="L32" s="124">
        <v>5</v>
      </c>
      <c r="M32" s="124" t="s">
        <v>330</v>
      </c>
      <c r="N32" s="114">
        <f>IFERROR(RiskAssessment[[#This Row],[ الاحتمالية]]*RiskAssessment[[#This Row],[ التأثير]],"غير محسوب")</f>
        <v>15</v>
      </c>
      <c r="O32" s="123" t="str">
        <f t="shared" si="0"/>
        <v>مرتفع</v>
      </c>
      <c r="P32" s="124" t="s">
        <v>79</v>
      </c>
      <c r="Q32" s="124" t="s">
        <v>331</v>
      </c>
      <c r="R32" s="124" t="s">
        <v>332</v>
      </c>
      <c r="S32" s="125">
        <v>280000</v>
      </c>
      <c r="T32" s="124" t="s">
        <v>327</v>
      </c>
      <c r="U32" s="116" t="s">
        <v>82</v>
      </c>
      <c r="V32" s="116">
        <v>0.55000000000000004</v>
      </c>
      <c r="W32" s="124" t="s">
        <v>83</v>
      </c>
      <c r="X32" s="116">
        <v>2</v>
      </c>
      <c r="Y32" s="124" t="s">
        <v>333</v>
      </c>
      <c r="Z32" s="124">
        <v>4</v>
      </c>
      <c r="AA32" s="124" t="s">
        <v>334</v>
      </c>
      <c r="AB32" s="114">
        <f>IFERROR(RiskAssessment[[#This Row],[ الاحتمالية بعد المعالجة]]*RiskAssessment[[#This Row],[ التأثير بعد المعالجة]],"غير محسوب")</f>
        <v>8</v>
      </c>
      <c r="AC32" s="123" t="str">
        <f t="shared" si="1"/>
        <v>متوسط</v>
      </c>
      <c r="AD32" s="124" t="s">
        <v>335</v>
      </c>
    </row>
    <row r="33" spans="2:30" ht="345.6" x14ac:dyDescent="0.3">
      <c r="B33" s="124" t="s">
        <v>336</v>
      </c>
      <c r="C33" s="124" t="s">
        <v>162</v>
      </c>
      <c r="D33" s="124" t="s">
        <v>337</v>
      </c>
      <c r="E33" s="124" t="s">
        <v>338</v>
      </c>
      <c r="F33" s="124" t="s">
        <v>339</v>
      </c>
      <c r="G33" s="124" t="s">
        <v>91</v>
      </c>
      <c r="H33" s="124" t="s">
        <v>340</v>
      </c>
      <c r="I33" s="124" t="s">
        <v>341</v>
      </c>
      <c r="J33" s="124">
        <v>2</v>
      </c>
      <c r="K33" s="124" t="s">
        <v>342</v>
      </c>
      <c r="L33" s="124">
        <v>4</v>
      </c>
      <c r="M33" s="124" t="s">
        <v>343</v>
      </c>
      <c r="N33" s="114">
        <f>IFERROR(RiskAssessment[[#This Row],[ الاحتمالية]]*RiskAssessment[[#This Row],[ التأثير]],"غير محسوب")</f>
        <v>8</v>
      </c>
      <c r="O33" s="123" t="str">
        <f t="shared" si="0"/>
        <v>متوسط</v>
      </c>
      <c r="P33" s="124" t="s">
        <v>79</v>
      </c>
      <c r="Q33" s="124" t="s">
        <v>344</v>
      </c>
      <c r="R33" s="124" t="s">
        <v>345</v>
      </c>
      <c r="S33" s="125">
        <v>420000</v>
      </c>
      <c r="T33" s="124" t="s">
        <v>340</v>
      </c>
      <c r="U33" s="116" t="s">
        <v>82</v>
      </c>
      <c r="V33" s="116">
        <v>0.3</v>
      </c>
      <c r="W33" s="124" t="s">
        <v>83</v>
      </c>
      <c r="X33" s="116">
        <v>1</v>
      </c>
      <c r="Y33" s="124" t="s">
        <v>346</v>
      </c>
      <c r="Z33" s="124">
        <v>4</v>
      </c>
      <c r="AA33" s="124" t="s">
        <v>347</v>
      </c>
      <c r="AB33" s="114">
        <f>IFERROR(RiskAssessment[[#This Row],[ الاحتمالية بعد المعالجة]]*RiskAssessment[[#This Row],[ التأثير بعد المعالجة]],"غير محسوب")</f>
        <v>4</v>
      </c>
      <c r="AC33" s="123" t="str">
        <f t="shared" si="1"/>
        <v>منخفض</v>
      </c>
      <c r="AD33" s="124" t="s">
        <v>348</v>
      </c>
    </row>
    <row r="34" spans="2:30" ht="316.8" x14ac:dyDescent="0.3">
      <c r="B34" s="124" t="s">
        <v>349</v>
      </c>
      <c r="C34" s="124" t="s">
        <v>243</v>
      </c>
      <c r="D34" s="124" t="s">
        <v>350</v>
      </c>
      <c r="E34" s="124" t="s">
        <v>351</v>
      </c>
      <c r="F34" s="124" t="s">
        <v>352</v>
      </c>
      <c r="G34" s="124" t="s">
        <v>179</v>
      </c>
      <c r="H34" s="124" t="s">
        <v>141</v>
      </c>
      <c r="I34" s="124" t="s">
        <v>353</v>
      </c>
      <c r="J34" s="124">
        <v>2</v>
      </c>
      <c r="K34" s="124" t="s">
        <v>354</v>
      </c>
      <c r="L34" s="124">
        <v>4</v>
      </c>
      <c r="M34" s="124" t="s">
        <v>355</v>
      </c>
      <c r="N34" s="114">
        <f>IFERROR(RiskAssessment[[#This Row],[ الاحتمالية]]*RiskAssessment[[#This Row],[ التأثير]],"غير محسوب")</f>
        <v>8</v>
      </c>
      <c r="O34" s="123" t="str">
        <f t="shared" si="0"/>
        <v>متوسط</v>
      </c>
      <c r="P34" s="124" t="s">
        <v>79</v>
      </c>
      <c r="Q34" s="124" t="s">
        <v>356</v>
      </c>
      <c r="R34" s="124" t="s">
        <v>357</v>
      </c>
      <c r="S34" s="125">
        <v>900000</v>
      </c>
      <c r="T34" s="124" t="s">
        <v>141</v>
      </c>
      <c r="U34" s="116" t="s">
        <v>358</v>
      </c>
      <c r="V34" s="116">
        <v>0</v>
      </c>
      <c r="W34" s="124" t="s">
        <v>359</v>
      </c>
      <c r="X34" s="116">
        <v>1</v>
      </c>
      <c r="Y34" s="124" t="s">
        <v>360</v>
      </c>
      <c r="Z34" s="124">
        <v>4</v>
      </c>
      <c r="AA34" s="124" t="s">
        <v>361</v>
      </c>
      <c r="AB34" s="114">
        <f>IFERROR(RiskAssessment[[#This Row],[ الاحتمالية بعد المعالجة]]*RiskAssessment[[#This Row],[ التأثير بعد المعالجة]],"غير محسوب")</f>
        <v>4</v>
      </c>
      <c r="AC34" s="123" t="str">
        <f t="shared" si="1"/>
        <v>منخفض</v>
      </c>
      <c r="AD34" s="124" t="s">
        <v>362</v>
      </c>
    </row>
    <row r="35" spans="2:30" ht="302.39999999999998" x14ac:dyDescent="0.3">
      <c r="B35" s="124" t="s">
        <v>363</v>
      </c>
      <c r="C35" s="124" t="s">
        <v>103</v>
      </c>
      <c r="D35" s="124" t="s">
        <v>364</v>
      </c>
      <c r="E35" s="124" t="s">
        <v>365</v>
      </c>
      <c r="F35" s="124" t="s">
        <v>366</v>
      </c>
      <c r="G35" s="124" t="s">
        <v>91</v>
      </c>
      <c r="H35" s="124" t="s">
        <v>340</v>
      </c>
      <c r="I35" s="124" t="s">
        <v>367</v>
      </c>
      <c r="J35" s="124">
        <v>3</v>
      </c>
      <c r="K35" s="124" t="s">
        <v>368</v>
      </c>
      <c r="L35" s="124">
        <v>4</v>
      </c>
      <c r="M35" s="124" t="s">
        <v>369</v>
      </c>
      <c r="N35" s="114">
        <f>IFERROR(RiskAssessment[[#This Row],[ الاحتمالية]]*RiskAssessment[[#This Row],[ التأثير]],"غير محسوب")</f>
        <v>12</v>
      </c>
      <c r="O35" s="123" t="str">
        <f t="shared" si="0"/>
        <v>مرتفع</v>
      </c>
      <c r="P35" s="124" t="s">
        <v>79</v>
      </c>
      <c r="Q35" s="124" t="s">
        <v>370</v>
      </c>
      <c r="R35" s="124" t="s">
        <v>371</v>
      </c>
      <c r="S35" s="125">
        <v>520000</v>
      </c>
      <c r="T35" s="124" t="s">
        <v>340</v>
      </c>
      <c r="U35" s="116" t="s">
        <v>98</v>
      </c>
      <c r="V35" s="116">
        <v>0.65</v>
      </c>
      <c r="W35" s="124" t="s">
        <v>83</v>
      </c>
      <c r="X35" s="116">
        <v>2</v>
      </c>
      <c r="Y35" s="124" t="s">
        <v>372</v>
      </c>
      <c r="Z35" s="124">
        <v>3</v>
      </c>
      <c r="AA35" s="124" t="s">
        <v>373</v>
      </c>
      <c r="AB35" s="114">
        <f>IFERROR(RiskAssessment[[#This Row],[ الاحتمالية بعد المعالجة]]*RiskAssessment[[#This Row],[ التأثير بعد المعالجة]],"غير محسوب")</f>
        <v>6</v>
      </c>
      <c r="AC35" s="123" t="str">
        <f t="shared" si="1"/>
        <v>متوسط</v>
      </c>
      <c r="AD35" s="124" t="s">
        <v>374</v>
      </c>
    </row>
    <row r="36" spans="2:30" ht="316.8" x14ac:dyDescent="0.3">
      <c r="B36" s="124" t="s">
        <v>375</v>
      </c>
      <c r="C36" s="124" t="s">
        <v>132</v>
      </c>
      <c r="D36" s="124" t="s">
        <v>376</v>
      </c>
      <c r="E36" s="124" t="s">
        <v>377</v>
      </c>
      <c r="F36" s="124" t="s">
        <v>378</v>
      </c>
      <c r="G36" s="124" t="s">
        <v>151</v>
      </c>
      <c r="H36" s="124" t="s">
        <v>113</v>
      </c>
      <c r="I36" s="124" t="s">
        <v>379</v>
      </c>
      <c r="J36" s="124">
        <v>2</v>
      </c>
      <c r="K36" s="124" t="s">
        <v>380</v>
      </c>
      <c r="L36" s="124">
        <v>4</v>
      </c>
      <c r="M36" s="124" t="s">
        <v>381</v>
      </c>
      <c r="N36" s="114">
        <f>IFERROR(RiskAssessment[[#This Row],[ الاحتمالية]]*RiskAssessment[[#This Row],[ التأثير]],"غير محسوب")</f>
        <v>8</v>
      </c>
      <c r="O36" s="123" t="str">
        <f t="shared" si="0"/>
        <v>متوسط</v>
      </c>
      <c r="P36" s="124" t="s">
        <v>79</v>
      </c>
      <c r="Q36" s="124" t="s">
        <v>382</v>
      </c>
      <c r="R36" s="124" t="s">
        <v>383</v>
      </c>
      <c r="S36" s="125">
        <v>95000</v>
      </c>
      <c r="T36" s="124" t="s">
        <v>113</v>
      </c>
      <c r="U36" s="116" t="s">
        <v>127</v>
      </c>
      <c r="V36" s="116">
        <v>0.7</v>
      </c>
      <c r="W36" s="124" t="s">
        <v>83</v>
      </c>
      <c r="X36" s="116">
        <v>1</v>
      </c>
      <c r="Y36" s="124" t="s">
        <v>384</v>
      </c>
      <c r="Z36" s="124">
        <v>4</v>
      </c>
      <c r="AA36" s="124" t="s">
        <v>385</v>
      </c>
      <c r="AB36" s="114">
        <f>IFERROR(RiskAssessment[[#This Row],[ الاحتمالية بعد المعالجة]]*RiskAssessment[[#This Row],[ التأثير بعد المعالجة]],"غير محسوب")</f>
        <v>4</v>
      </c>
      <c r="AC36" s="123" t="str">
        <f t="shared" si="1"/>
        <v>منخفض</v>
      </c>
      <c r="AD36" s="124" t="s">
        <v>386</v>
      </c>
    </row>
    <row r="37" spans="2:30" ht="403.2" x14ac:dyDescent="0.3">
      <c r="B37" s="124" t="s">
        <v>387</v>
      </c>
      <c r="C37" s="124" t="s">
        <v>132</v>
      </c>
      <c r="D37" s="124" t="s">
        <v>388</v>
      </c>
      <c r="E37" s="124" t="s">
        <v>389</v>
      </c>
      <c r="F37" s="124" t="s">
        <v>390</v>
      </c>
      <c r="G37" s="124" t="s">
        <v>74</v>
      </c>
      <c r="H37" s="124" t="s">
        <v>92</v>
      </c>
      <c r="I37" s="124" t="s">
        <v>391</v>
      </c>
      <c r="J37" s="124">
        <v>4</v>
      </c>
      <c r="K37" s="124" t="s">
        <v>392</v>
      </c>
      <c r="L37" s="124">
        <v>4</v>
      </c>
      <c r="M37" s="124" t="s">
        <v>393</v>
      </c>
      <c r="N37" s="114">
        <f>IFERROR(RiskAssessment[[#This Row],[ الاحتمالية]]*RiskAssessment[[#This Row],[ التأثير]],"غير محسوب")</f>
        <v>16</v>
      </c>
      <c r="O37" s="123" t="str">
        <f t="shared" si="0"/>
        <v>حرج</v>
      </c>
      <c r="P37" s="124" t="s">
        <v>79</v>
      </c>
      <c r="Q37" s="124" t="s">
        <v>394</v>
      </c>
      <c r="R37" s="124" t="s">
        <v>395</v>
      </c>
      <c r="S37" s="125">
        <v>2600000</v>
      </c>
      <c r="T37" s="124" t="s">
        <v>92</v>
      </c>
      <c r="U37" s="116" t="s">
        <v>396</v>
      </c>
      <c r="V37" s="116">
        <v>0.3</v>
      </c>
      <c r="W37" s="124" t="s">
        <v>83</v>
      </c>
      <c r="X37" s="116">
        <v>2</v>
      </c>
      <c r="Y37" s="124" t="s">
        <v>397</v>
      </c>
      <c r="Z37" s="124">
        <v>3</v>
      </c>
      <c r="AA37" s="124" t="s">
        <v>398</v>
      </c>
      <c r="AB37" s="114">
        <f>IFERROR(RiskAssessment[[#This Row],[ الاحتمالية بعد المعالجة]]*RiskAssessment[[#This Row],[ التأثير بعد المعالجة]],"غير محسوب")</f>
        <v>6</v>
      </c>
      <c r="AC37" s="123" t="str">
        <f t="shared" si="1"/>
        <v>متوسط</v>
      </c>
      <c r="AD37" s="124" t="s">
        <v>399</v>
      </c>
    </row>
    <row r="38" spans="2:30" ht="360" x14ac:dyDescent="0.3">
      <c r="B38" s="124" t="s">
        <v>400</v>
      </c>
      <c r="C38" s="124" t="s">
        <v>70</v>
      </c>
      <c r="D38" s="124" t="s">
        <v>401</v>
      </c>
      <c r="E38" s="124" t="s">
        <v>402</v>
      </c>
      <c r="F38" s="124" t="s">
        <v>403</v>
      </c>
      <c r="G38" s="124" t="s">
        <v>151</v>
      </c>
      <c r="H38" s="124" t="s">
        <v>107</v>
      </c>
      <c r="I38" s="124" t="s">
        <v>404</v>
      </c>
      <c r="J38" s="124">
        <v>2</v>
      </c>
      <c r="K38" s="124" t="s">
        <v>405</v>
      </c>
      <c r="L38" s="124">
        <v>5</v>
      </c>
      <c r="M38" s="124" t="s">
        <v>406</v>
      </c>
      <c r="N38" s="114">
        <f>IFERROR(RiskAssessment[[#This Row],[ الاحتمالية]]*RiskAssessment[[#This Row],[ التأثير]],"غير محسوب")</f>
        <v>10</v>
      </c>
      <c r="O38" s="123" t="str">
        <f t="shared" si="0"/>
        <v>متوسط</v>
      </c>
      <c r="P38" s="124" t="s">
        <v>79</v>
      </c>
      <c r="Q38" s="124" t="s">
        <v>407</v>
      </c>
      <c r="R38" s="124" t="s">
        <v>408</v>
      </c>
      <c r="S38" s="125">
        <v>210000</v>
      </c>
      <c r="T38" s="124" t="s">
        <v>92</v>
      </c>
      <c r="U38" s="116" t="s">
        <v>82</v>
      </c>
      <c r="V38" s="116">
        <v>0.45</v>
      </c>
      <c r="W38" s="124" t="s">
        <v>83</v>
      </c>
      <c r="X38" s="116">
        <v>1</v>
      </c>
      <c r="Y38" s="124" t="s">
        <v>409</v>
      </c>
      <c r="Z38" s="124">
        <v>4</v>
      </c>
      <c r="AA38" s="124" t="s">
        <v>410</v>
      </c>
      <c r="AB38" s="114">
        <f>IFERROR(RiskAssessment[[#This Row],[ الاحتمالية بعد المعالجة]]*RiskAssessment[[#This Row],[ التأثير بعد المعالجة]],"غير محسوب")</f>
        <v>4</v>
      </c>
      <c r="AC38" s="123" t="str">
        <f t="shared" si="1"/>
        <v>منخفض</v>
      </c>
      <c r="AD38" s="124" t="s">
        <v>411</v>
      </c>
    </row>
    <row r="39" spans="2:30" ht="409.6" x14ac:dyDescent="0.3">
      <c r="B39" s="124" t="s">
        <v>412</v>
      </c>
      <c r="C39" s="124" t="s">
        <v>229</v>
      </c>
      <c r="D39" s="124" t="s">
        <v>413</v>
      </c>
      <c r="E39" s="124" t="s">
        <v>414</v>
      </c>
      <c r="F39" s="124" t="s">
        <v>415</v>
      </c>
      <c r="G39" s="124" t="s">
        <v>179</v>
      </c>
      <c r="H39" s="124" t="s">
        <v>233</v>
      </c>
      <c r="I39" s="124" t="s">
        <v>416</v>
      </c>
      <c r="J39" s="124">
        <v>2</v>
      </c>
      <c r="K39" s="124" t="s">
        <v>417</v>
      </c>
      <c r="L39" s="124">
        <v>4</v>
      </c>
      <c r="M39" s="124" t="s">
        <v>418</v>
      </c>
      <c r="N39" s="114">
        <f>IFERROR(RiskAssessment[[#This Row],[ الاحتمالية]]*RiskAssessment[[#This Row],[ التأثير]],"غير محسوب")</f>
        <v>8</v>
      </c>
      <c r="O39" s="123" t="str">
        <f t="shared" si="0"/>
        <v>متوسط</v>
      </c>
      <c r="P39" s="124" t="s">
        <v>419</v>
      </c>
      <c r="Q39" s="124" t="s">
        <v>420</v>
      </c>
      <c r="R39" s="124" t="s">
        <v>421</v>
      </c>
      <c r="S39" s="125">
        <v>340000</v>
      </c>
      <c r="T39" s="124" t="s">
        <v>233</v>
      </c>
      <c r="U39" s="116" t="s">
        <v>82</v>
      </c>
      <c r="V39" s="116">
        <v>0.4</v>
      </c>
      <c r="W39" s="124" t="s">
        <v>83</v>
      </c>
      <c r="X39" s="116">
        <v>1</v>
      </c>
      <c r="Y39" s="124" t="s">
        <v>422</v>
      </c>
      <c r="Z39" s="124">
        <v>4</v>
      </c>
      <c r="AA39" s="124" t="s">
        <v>423</v>
      </c>
      <c r="AB39" s="114">
        <f>IFERROR(RiskAssessment[[#This Row],[ الاحتمالية بعد المعالجة]]*RiskAssessment[[#This Row],[ التأثير بعد المعالجة]],"غير محسوب")</f>
        <v>4</v>
      </c>
      <c r="AC39" s="123" t="str">
        <f t="shared" si="1"/>
        <v>منخفض</v>
      </c>
      <c r="AD39" s="124" t="s">
        <v>424</v>
      </c>
    </row>
    <row r="40" spans="2:30" ht="331.2" x14ac:dyDescent="0.3">
      <c r="B40" s="124" t="s">
        <v>425</v>
      </c>
      <c r="C40" s="124" t="s">
        <v>162</v>
      </c>
      <c r="D40" s="124" t="s">
        <v>426</v>
      </c>
      <c r="E40" s="124" t="s">
        <v>427</v>
      </c>
      <c r="F40" s="124" t="s">
        <v>428</v>
      </c>
      <c r="G40" s="124" t="s">
        <v>151</v>
      </c>
      <c r="H40" s="124" t="s">
        <v>166</v>
      </c>
      <c r="I40" s="124" t="s">
        <v>429</v>
      </c>
      <c r="J40" s="124">
        <v>3</v>
      </c>
      <c r="K40" s="124" t="s">
        <v>430</v>
      </c>
      <c r="L40" s="124">
        <v>3</v>
      </c>
      <c r="M40" s="124" t="s">
        <v>431</v>
      </c>
      <c r="N40" s="114">
        <f>IFERROR(RiskAssessment[[#This Row],[ الاحتمالية]]*RiskAssessment[[#This Row],[ التأثير]],"غير محسوب")</f>
        <v>9</v>
      </c>
      <c r="O40" s="123" t="str">
        <f t="shared" si="0"/>
        <v>متوسط</v>
      </c>
      <c r="P40" s="124" t="s">
        <v>79</v>
      </c>
      <c r="Q40" s="124" t="s">
        <v>432</v>
      </c>
      <c r="R40" s="124" t="s">
        <v>433</v>
      </c>
      <c r="S40" s="125">
        <v>160000</v>
      </c>
      <c r="T40" s="124" t="s">
        <v>166</v>
      </c>
      <c r="U40" s="116" t="s">
        <v>98</v>
      </c>
      <c r="V40" s="116">
        <v>0.5</v>
      </c>
      <c r="W40" s="124" t="s">
        <v>83</v>
      </c>
      <c r="X40" s="116">
        <v>2</v>
      </c>
      <c r="Y40" s="124" t="s">
        <v>434</v>
      </c>
      <c r="Z40" s="124">
        <v>2</v>
      </c>
      <c r="AA40" s="124" t="s">
        <v>435</v>
      </c>
      <c r="AB40" s="114">
        <f>IFERROR(RiskAssessment[[#This Row],[ الاحتمالية بعد المعالجة]]*RiskAssessment[[#This Row],[ التأثير بعد المعالجة]],"غير محسوب")</f>
        <v>4</v>
      </c>
      <c r="AC40" s="123" t="str">
        <f t="shared" si="1"/>
        <v>منخفض</v>
      </c>
      <c r="AD40" s="124" t="s">
        <v>436</v>
      </c>
    </row>
    <row r="41" spans="2:30" ht="374.4" x14ac:dyDescent="0.3">
      <c r="B41" s="124" t="s">
        <v>437</v>
      </c>
      <c r="C41" s="124" t="s">
        <v>243</v>
      </c>
      <c r="D41" s="124" t="s">
        <v>438</v>
      </c>
      <c r="E41" s="124" t="s">
        <v>439</v>
      </c>
      <c r="F41" s="124" t="s">
        <v>440</v>
      </c>
      <c r="G41" s="124" t="s">
        <v>91</v>
      </c>
      <c r="H41" s="124" t="s">
        <v>92</v>
      </c>
      <c r="I41" s="124" t="s">
        <v>441</v>
      </c>
      <c r="J41" s="124">
        <v>2</v>
      </c>
      <c r="K41" s="124" t="s">
        <v>442</v>
      </c>
      <c r="L41" s="124">
        <v>4</v>
      </c>
      <c r="M41" s="124" t="s">
        <v>443</v>
      </c>
      <c r="N41" s="114">
        <f>IFERROR(RiskAssessment[[#This Row],[ الاحتمالية]]*RiskAssessment[[#This Row],[ التأثير]],"غير محسوب")</f>
        <v>8</v>
      </c>
      <c r="O41" s="123" t="str">
        <f t="shared" si="0"/>
        <v>متوسط</v>
      </c>
      <c r="P41" s="124" t="s">
        <v>79</v>
      </c>
      <c r="Q41" s="124" t="s">
        <v>444</v>
      </c>
      <c r="R41" s="124" t="s">
        <v>445</v>
      </c>
      <c r="S41" s="125">
        <v>350000</v>
      </c>
      <c r="T41" s="124" t="s">
        <v>92</v>
      </c>
      <c r="U41" s="116" t="s">
        <v>142</v>
      </c>
      <c r="V41" s="116">
        <v>0</v>
      </c>
      <c r="W41" s="124" t="s">
        <v>359</v>
      </c>
      <c r="X41" s="116">
        <v>1</v>
      </c>
      <c r="Y41" s="124" t="s">
        <v>446</v>
      </c>
      <c r="Z41" s="124">
        <v>4</v>
      </c>
      <c r="AA41" s="124" t="s">
        <v>447</v>
      </c>
      <c r="AB41" s="114">
        <f>IFERROR(RiskAssessment[[#This Row],[ الاحتمالية بعد المعالجة]]*RiskAssessment[[#This Row],[ التأثير بعد المعالجة]],"غير محسوب")</f>
        <v>4</v>
      </c>
      <c r="AC41" s="123" t="str">
        <f t="shared" si="1"/>
        <v>منخفض</v>
      </c>
      <c r="AD41" s="124" t="s">
        <v>448</v>
      </c>
    </row>
    <row r="42" spans="2:30" ht="259.2" x14ac:dyDescent="0.3">
      <c r="B42" s="124" t="s">
        <v>449</v>
      </c>
      <c r="C42" s="124" t="s">
        <v>132</v>
      </c>
      <c r="D42" s="124" t="s">
        <v>450</v>
      </c>
      <c r="E42" s="124" t="s">
        <v>451</v>
      </c>
      <c r="F42" s="124" t="s">
        <v>452</v>
      </c>
      <c r="G42" s="124" t="s">
        <v>195</v>
      </c>
      <c r="H42" s="124" t="s">
        <v>113</v>
      </c>
      <c r="I42" s="124" t="s">
        <v>453</v>
      </c>
      <c r="J42" s="124">
        <v>3</v>
      </c>
      <c r="K42" s="124" t="s">
        <v>454</v>
      </c>
      <c r="L42" s="124">
        <v>3</v>
      </c>
      <c r="M42" s="124" t="s">
        <v>455</v>
      </c>
      <c r="N42" s="114">
        <f>IFERROR(RiskAssessment[[#This Row],[ الاحتمالية]]*RiskAssessment[[#This Row],[ التأثير]],"غير محسوب")</f>
        <v>9</v>
      </c>
      <c r="O42" s="123" t="str">
        <f t="shared" si="0"/>
        <v>متوسط</v>
      </c>
      <c r="P42" s="124" t="s">
        <v>79</v>
      </c>
      <c r="Q42" s="124" t="s">
        <v>456</v>
      </c>
      <c r="R42" s="124" t="s">
        <v>457</v>
      </c>
      <c r="S42" s="125">
        <v>240000</v>
      </c>
      <c r="T42" s="124" t="s">
        <v>113</v>
      </c>
      <c r="U42" s="116" t="s">
        <v>82</v>
      </c>
      <c r="V42" s="116">
        <v>0.45</v>
      </c>
      <c r="W42" s="124" t="s">
        <v>83</v>
      </c>
      <c r="X42" s="116">
        <v>2</v>
      </c>
      <c r="Y42" s="124" t="s">
        <v>458</v>
      </c>
      <c r="Z42" s="124">
        <v>3</v>
      </c>
      <c r="AA42" s="124" t="s">
        <v>459</v>
      </c>
      <c r="AB42" s="114">
        <f>IFERROR(RiskAssessment[[#This Row],[ الاحتمالية بعد المعالجة]]*RiskAssessment[[#This Row],[ التأثير بعد المعالجة]],"غير محسوب")</f>
        <v>6</v>
      </c>
      <c r="AC42" s="123" t="str">
        <f t="shared" si="1"/>
        <v>متوسط</v>
      </c>
      <c r="AD42" s="124" t="s">
        <v>460</v>
      </c>
    </row>
    <row r="43" spans="2:30" ht="331.2" x14ac:dyDescent="0.3">
      <c r="B43" s="124" t="s">
        <v>461</v>
      </c>
      <c r="C43" s="124" t="s">
        <v>462</v>
      </c>
      <c r="D43" s="124" t="s">
        <v>463</v>
      </c>
      <c r="E43" s="124" t="s">
        <v>464</v>
      </c>
      <c r="F43" s="124" t="s">
        <v>465</v>
      </c>
      <c r="G43" s="124" t="s">
        <v>179</v>
      </c>
      <c r="H43" s="124" t="s">
        <v>152</v>
      </c>
      <c r="I43" s="124" t="s">
        <v>466</v>
      </c>
      <c r="J43" s="124">
        <v>3</v>
      </c>
      <c r="K43" s="124" t="s">
        <v>467</v>
      </c>
      <c r="L43" s="124">
        <v>3</v>
      </c>
      <c r="M43" s="124" t="s">
        <v>468</v>
      </c>
      <c r="N43" s="114">
        <f>IFERROR(RiskAssessment[[#This Row],[ الاحتمالية]]*RiskAssessment[[#This Row],[ التأثير]],"غير محسوب")</f>
        <v>9</v>
      </c>
      <c r="O43" s="123" t="str">
        <f t="shared" si="0"/>
        <v>متوسط</v>
      </c>
      <c r="P43" s="124" t="s">
        <v>79</v>
      </c>
      <c r="Q43" s="124" t="s">
        <v>469</v>
      </c>
      <c r="R43" s="124" t="s">
        <v>470</v>
      </c>
      <c r="S43" s="125">
        <v>400000</v>
      </c>
      <c r="T43" s="124" t="s">
        <v>152</v>
      </c>
      <c r="U43" s="116" t="s">
        <v>396</v>
      </c>
      <c r="V43" s="116">
        <v>0.35</v>
      </c>
      <c r="W43" s="124" t="s">
        <v>83</v>
      </c>
      <c r="X43" s="116">
        <v>2</v>
      </c>
      <c r="Y43" s="124" t="s">
        <v>471</v>
      </c>
      <c r="Z43" s="124">
        <v>3</v>
      </c>
      <c r="AA43" s="124" t="s">
        <v>472</v>
      </c>
      <c r="AB43" s="114">
        <f>IFERROR(RiskAssessment[[#This Row],[ الاحتمالية بعد المعالجة]]*RiskAssessment[[#This Row],[ التأثير بعد المعالجة]],"غير محسوب")</f>
        <v>6</v>
      </c>
      <c r="AC43" s="123" t="str">
        <f t="shared" si="1"/>
        <v>متوسط</v>
      </c>
      <c r="AD43" s="124" t="s">
        <v>473</v>
      </c>
    </row>
    <row r="44" spans="2:30" ht="388.8" x14ac:dyDescent="0.3">
      <c r="B44" s="124" t="s">
        <v>474</v>
      </c>
      <c r="C44" s="124" t="s">
        <v>162</v>
      </c>
      <c r="D44" s="124" t="s">
        <v>475</v>
      </c>
      <c r="E44" s="124" t="s">
        <v>476</v>
      </c>
      <c r="F44" s="124" t="s">
        <v>477</v>
      </c>
      <c r="G44" s="124" t="s">
        <v>260</v>
      </c>
      <c r="H44" s="124" t="s">
        <v>141</v>
      </c>
      <c r="I44" s="124" t="s">
        <v>478</v>
      </c>
      <c r="J44" s="124">
        <v>1</v>
      </c>
      <c r="K44" s="124" t="s">
        <v>479</v>
      </c>
      <c r="L44" s="124">
        <v>4</v>
      </c>
      <c r="M44" s="124" t="s">
        <v>480</v>
      </c>
      <c r="N44" s="114">
        <f>IFERROR(RiskAssessment[[#This Row],[ الاحتمالية]]*RiskAssessment[[#This Row],[ التأثير]],"غير محسوب")</f>
        <v>4</v>
      </c>
      <c r="O44" s="123" t="str">
        <f t="shared" si="0"/>
        <v>منخفض</v>
      </c>
      <c r="P44" s="124" t="s">
        <v>481</v>
      </c>
      <c r="Q44" s="124" t="s">
        <v>482</v>
      </c>
      <c r="R44" s="124" t="s">
        <v>483</v>
      </c>
      <c r="S44" s="125">
        <v>0</v>
      </c>
      <c r="T44" s="124" t="s">
        <v>141</v>
      </c>
      <c r="U44" s="116" t="s">
        <v>484</v>
      </c>
      <c r="V44" s="116">
        <v>1</v>
      </c>
      <c r="W44" s="124" t="s">
        <v>186</v>
      </c>
      <c r="X44" s="116">
        <v>1</v>
      </c>
      <c r="Y44" s="124" t="s">
        <v>485</v>
      </c>
      <c r="Z44" s="124">
        <v>4</v>
      </c>
      <c r="AA44" s="124" t="s">
        <v>486</v>
      </c>
      <c r="AB44" s="114">
        <f>IFERROR(RiskAssessment[[#This Row],[ الاحتمالية بعد المعالجة]]*RiskAssessment[[#This Row],[ التأثير بعد المعالجة]],"غير محسوب")</f>
        <v>4</v>
      </c>
      <c r="AC44" s="123" t="str">
        <f t="shared" si="1"/>
        <v>منخفض</v>
      </c>
      <c r="AD44" s="124" t="s">
        <v>487</v>
      </c>
    </row>
    <row r="45" spans="2:30" ht="259.2" x14ac:dyDescent="0.3">
      <c r="B45" s="124" t="s">
        <v>488</v>
      </c>
      <c r="C45" s="124" t="s">
        <v>243</v>
      </c>
      <c r="D45" s="124" t="s">
        <v>489</v>
      </c>
      <c r="E45" s="124" t="s">
        <v>490</v>
      </c>
      <c r="F45" s="124" t="s">
        <v>491</v>
      </c>
      <c r="G45" s="124" t="s">
        <v>179</v>
      </c>
      <c r="H45" s="124" t="s">
        <v>75</v>
      </c>
      <c r="I45" s="124" t="s">
        <v>492</v>
      </c>
      <c r="J45" s="124">
        <v>2</v>
      </c>
      <c r="K45" s="124" t="s">
        <v>493</v>
      </c>
      <c r="L45" s="124">
        <v>2</v>
      </c>
      <c r="M45" s="124" t="s">
        <v>494</v>
      </c>
      <c r="N45" s="114">
        <f>IFERROR(RiskAssessment[[#This Row],[ الاحتمالية]]*RiskAssessment[[#This Row],[ التأثير]],"غير محسوب")</f>
        <v>4</v>
      </c>
      <c r="O45" s="123" t="str">
        <f t="shared" si="0"/>
        <v>منخفض</v>
      </c>
      <c r="P45" s="124" t="s">
        <v>481</v>
      </c>
      <c r="Q45" s="124" t="s">
        <v>495</v>
      </c>
      <c r="R45" s="124" t="s">
        <v>496</v>
      </c>
      <c r="S45" s="125">
        <v>0</v>
      </c>
      <c r="T45" s="124" t="s">
        <v>75</v>
      </c>
      <c r="U45" s="116" t="s">
        <v>484</v>
      </c>
      <c r="V45" s="116">
        <v>1</v>
      </c>
      <c r="W45" s="124" t="s">
        <v>186</v>
      </c>
      <c r="X45" s="116">
        <v>2</v>
      </c>
      <c r="Y45" s="124" t="s">
        <v>497</v>
      </c>
      <c r="Z45" s="124">
        <v>1</v>
      </c>
      <c r="AA45" s="124" t="s">
        <v>498</v>
      </c>
      <c r="AB45" s="114">
        <f>IFERROR(RiskAssessment[[#This Row],[ الاحتمالية بعد المعالجة]]*RiskAssessment[[#This Row],[ التأثير بعد المعالجة]],"غير محسوب")</f>
        <v>2</v>
      </c>
      <c r="AC45" s="123" t="str">
        <f t="shared" si="1"/>
        <v>منخفض</v>
      </c>
      <c r="AD45" s="124" t="s">
        <v>499</v>
      </c>
    </row>
  </sheetData>
  <sheetProtection selectLockedCells="1" autoFilter="0"/>
  <mergeCells count="4">
    <mergeCell ref="B12:H12"/>
    <mergeCell ref="I12:O12"/>
    <mergeCell ref="P12:W12"/>
    <mergeCell ref="X12:AD12"/>
  </mergeCells>
  <conditionalFormatting sqref="O14:O45 AC14:AC45">
    <cfRule type="cellIs" dxfId="64" priority="45" operator="equal">
      <formula>"حرج"</formula>
    </cfRule>
    <cfRule type="cellIs" dxfId="63" priority="46" operator="equal">
      <formula>"مرتفع"</formula>
    </cfRule>
    <cfRule type="cellIs" dxfId="62" priority="47" operator="equal">
      <formula>"متوسط"</formula>
    </cfRule>
    <cfRule type="cellIs" dxfId="61" priority="48" operator="equal">
      <formula>"منخفض"</formula>
    </cfRule>
  </conditionalFormatting>
  <conditionalFormatting sqref="Q14:AB45">
    <cfRule type="expression" dxfId="60" priority="8">
      <formula>$P14="القبول"</formula>
    </cfRule>
  </conditionalFormatting>
  <pageMargins left="0.70866141732283472" right="0.70866141732283472" top="0.74803149606299213" bottom="0.74803149606299213" header="0.31496062992125984" footer="0.31496062992125984"/>
  <pageSetup paperSize="9" scale="25" fitToHeight="0" orientation="landscape" horizontalDpi="360" verticalDpi="360" r:id="rId1"/>
  <headerFooter>
    <oddFooter>&amp;L&amp;D&amp;Cالصفحة &amp;P من &amp;N&amp;Rسري - استخدام داخلي</oddFooter>
  </headerFooter>
  <colBreaks count="2" manualBreakCount="2">
    <brk id="15" max="1048575" man="1"/>
    <brk id="23"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90F55BBA-50DB-46BC-A873-B32D17F560EC}">
          <x14:formula1>
            <xm:f>'Selection Tables'!$B$16:$B$23</xm:f>
          </x14:formula1>
          <xm:sqref>G14:G33</xm:sqref>
        </x14:dataValidation>
        <x14:dataValidation type="list" allowBlank="1" showInputMessage="1" showErrorMessage="1" xr:uid="{AA71F27B-BEEA-44C0-9EFD-D27E865F40A9}">
          <x14:formula1>
            <xm:f>'Selection Tables'!$B$7:$B$12</xm:f>
          </x14:formula1>
          <xm:sqref>L14:L33 J14:J33 X14:X33 Z14:Z33</xm:sqref>
        </x14:dataValidation>
        <x14:dataValidation type="list" allowBlank="1" showInputMessage="1" showErrorMessage="1" promptTitle="If Choosing Accept" prompt="If choosing to Accept the risk, please ensure that the post-treatment likelihood and impact are set to pre-treatment values." xr:uid="{9360A65B-F868-4364-A0FC-AEB79C1623C4}">
          <x14:formula1>
            <xm:f>'Selection Tables'!$E$7:$E$11</xm:f>
          </x14:formula1>
          <xm:sqref>P14:P33</xm:sqref>
        </x14:dataValidation>
        <x14:dataValidation type="list" allowBlank="1" showInputMessage="1" showErrorMessage="1" xr:uid="{C7CE1ACB-5AD7-46D5-8264-7DB95B01EF21}">
          <x14:formula1>
            <xm:f>'Selection Tables'!$E$16:$E$20</xm:f>
          </x14:formula1>
          <xm:sqref>W14:W33</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8:AI72"/>
  <sheetViews>
    <sheetView showGridLines="0" rightToLeft="1" tabSelected="1" zoomScaleNormal="100" workbookViewId="0">
      <selection activeCell="B2" sqref="B2"/>
    </sheetView>
  </sheetViews>
  <sheetFormatPr defaultRowHeight="14.4" x14ac:dyDescent="0.3"/>
  <cols>
    <col min="1" max="1" width="2.88671875" customWidth="1"/>
    <col min="2" max="2" width="7.6640625" customWidth="1"/>
    <col min="3" max="8" width="13.6640625" customWidth="1"/>
    <col min="9" max="11" width="8.6640625" customWidth="1"/>
    <col min="12" max="12" width="7.6640625" customWidth="1"/>
    <col min="13" max="26" width="8.6640625" customWidth="1"/>
  </cols>
  <sheetData>
    <row r="8" spans="2:35" ht="21" x14ac:dyDescent="0.4">
      <c r="B8" s="19" t="s">
        <v>500</v>
      </c>
      <c r="AA8" s="25"/>
      <c r="AB8" s="25"/>
      <c r="AC8" s="25"/>
      <c r="AD8" s="25"/>
      <c r="AE8" s="25"/>
      <c r="AF8" s="25"/>
      <c r="AG8" s="25"/>
      <c r="AH8" s="25"/>
      <c r="AI8" s="25"/>
    </row>
    <row r="9" spans="2:35" ht="15" customHeight="1" x14ac:dyDescent="0.3">
      <c r="B9" s="9" t="s">
        <v>501</v>
      </c>
    </row>
    <row r="11" spans="2:35" ht="20.100000000000001" customHeight="1" x14ac:dyDescent="0.35">
      <c r="B11" s="26" t="s">
        <v>502</v>
      </c>
      <c r="C11" s="27"/>
      <c r="D11" s="27"/>
      <c r="E11" s="27"/>
      <c r="F11" s="27"/>
      <c r="G11" s="27"/>
      <c r="H11" s="27"/>
      <c r="I11" s="28"/>
      <c r="J11" s="28"/>
      <c r="K11" s="28"/>
      <c r="L11" s="28"/>
      <c r="M11" s="27"/>
      <c r="N11" s="27"/>
      <c r="O11" s="27"/>
      <c r="P11" s="27"/>
      <c r="Q11" s="27"/>
      <c r="R11" s="27"/>
      <c r="S11" s="27"/>
      <c r="T11" s="27"/>
      <c r="U11" s="27"/>
      <c r="V11" s="27"/>
      <c r="W11" s="27"/>
      <c r="X11" s="27"/>
      <c r="Y11" s="27"/>
      <c r="Z11" s="27"/>
      <c r="AE11" s="25"/>
      <c r="AF11" s="25"/>
      <c r="AG11" s="25"/>
      <c r="AH11" s="25"/>
      <c r="AI11" s="25"/>
    </row>
    <row r="12" spans="2:35" ht="15" customHeight="1" x14ac:dyDescent="0.3">
      <c r="I12" s="2"/>
      <c r="J12" s="2"/>
      <c r="K12" s="2"/>
      <c r="L12" s="2"/>
      <c r="M12" s="3"/>
      <c r="N12" s="3"/>
      <c r="O12" s="3"/>
    </row>
    <row r="13" spans="2:35" ht="15" customHeight="1" x14ac:dyDescent="0.3">
      <c r="I13" s="2"/>
      <c r="J13" s="2"/>
      <c r="K13" s="2"/>
      <c r="L13" s="2"/>
    </row>
    <row r="14" spans="2:35" ht="15" customHeight="1" x14ac:dyDescent="0.3">
      <c r="I14" s="2"/>
      <c r="J14" s="2"/>
      <c r="K14" s="2"/>
      <c r="L14" s="2"/>
    </row>
    <row r="15" spans="2:35" ht="15" customHeight="1" x14ac:dyDescent="0.3">
      <c r="I15" s="2"/>
      <c r="J15" s="2"/>
      <c r="K15" s="2"/>
      <c r="L15" s="2"/>
    </row>
    <row r="16" spans="2:35" ht="15" customHeight="1" x14ac:dyDescent="0.3">
      <c r="I16" s="2"/>
      <c r="J16" s="2"/>
      <c r="K16" s="2"/>
      <c r="L16" s="2"/>
    </row>
    <row r="17" spans="9:12" ht="15" customHeight="1" x14ac:dyDescent="0.3">
      <c r="I17" s="2"/>
      <c r="J17" s="2"/>
      <c r="K17" s="2"/>
      <c r="L17" s="2"/>
    </row>
    <row r="18" spans="9:12" ht="15" customHeight="1" x14ac:dyDescent="0.3">
      <c r="I18" s="2"/>
      <c r="J18" s="2"/>
      <c r="K18" s="2"/>
      <c r="L18" s="2"/>
    </row>
    <row r="19" spans="9:12" ht="15" customHeight="1" x14ac:dyDescent="0.3">
      <c r="I19" s="2"/>
      <c r="J19" s="2"/>
      <c r="K19" s="2"/>
      <c r="L19" s="2"/>
    </row>
    <row r="20" spans="9:12" ht="15" customHeight="1" x14ac:dyDescent="0.3">
      <c r="I20" s="2"/>
      <c r="J20" s="2"/>
      <c r="K20" s="2"/>
      <c r="L20" s="2"/>
    </row>
    <row r="21" spans="9:12" ht="15" customHeight="1" x14ac:dyDescent="0.3">
      <c r="I21" s="2"/>
      <c r="J21" s="2"/>
      <c r="K21" s="2"/>
      <c r="L21" s="2"/>
    </row>
    <row r="22" spans="9:12" ht="15" customHeight="1" x14ac:dyDescent="0.3">
      <c r="I22" s="2"/>
      <c r="J22" s="2"/>
      <c r="K22" s="2"/>
      <c r="L22" s="2"/>
    </row>
    <row r="23" spans="9:12" ht="15" customHeight="1" x14ac:dyDescent="0.3">
      <c r="I23" s="2"/>
      <c r="J23" s="2"/>
      <c r="K23" s="2"/>
      <c r="L23" s="2"/>
    </row>
    <row r="24" spans="9:12" ht="15" customHeight="1" x14ac:dyDescent="0.3">
      <c r="I24" s="2"/>
      <c r="J24" s="2"/>
      <c r="K24" s="2"/>
      <c r="L24" s="2"/>
    </row>
    <row r="25" spans="9:12" ht="15" customHeight="1" x14ac:dyDescent="0.3">
      <c r="I25" s="2"/>
      <c r="J25" s="2"/>
      <c r="K25" s="2"/>
      <c r="L25" s="2"/>
    </row>
    <row r="26" spans="9:12" ht="15" customHeight="1" x14ac:dyDescent="0.3">
      <c r="I26" s="2"/>
      <c r="J26" s="2"/>
      <c r="K26" s="2"/>
      <c r="L26" s="2"/>
    </row>
    <row r="27" spans="9:12" ht="15" customHeight="1" x14ac:dyDescent="0.3">
      <c r="I27" s="2"/>
      <c r="J27" s="2"/>
      <c r="K27" s="2"/>
      <c r="L27" s="2"/>
    </row>
    <row r="28" spans="9:12" ht="15" customHeight="1" x14ac:dyDescent="0.3">
      <c r="I28" s="2"/>
      <c r="J28" s="2"/>
      <c r="K28" s="2"/>
      <c r="L28" s="2"/>
    </row>
    <row r="29" spans="9:12" ht="15" customHeight="1" x14ac:dyDescent="0.3">
      <c r="I29" s="2"/>
      <c r="J29" s="2"/>
      <c r="K29" s="2"/>
      <c r="L29" s="2"/>
    </row>
    <row r="30" spans="9:12" ht="15" customHeight="1" x14ac:dyDescent="0.3">
      <c r="I30" s="2"/>
      <c r="J30" s="2"/>
      <c r="K30" s="2"/>
      <c r="L30" s="2"/>
    </row>
    <row r="31" spans="9:12" ht="15" customHeight="1" x14ac:dyDescent="0.3">
      <c r="I31" s="2"/>
      <c r="J31" s="2"/>
      <c r="K31" s="2"/>
      <c r="L31" s="2"/>
    </row>
    <row r="32" spans="9:12" ht="15" customHeight="1" x14ac:dyDescent="0.3">
      <c r="I32" s="2"/>
      <c r="J32" s="2"/>
      <c r="K32" s="2"/>
      <c r="L32" s="2"/>
    </row>
    <row r="33" spans="2:26" ht="15" customHeight="1" x14ac:dyDescent="0.3">
      <c r="I33" s="2"/>
      <c r="J33" s="2"/>
      <c r="K33" s="2"/>
      <c r="L33" s="2"/>
    </row>
    <row r="34" spans="2:26" ht="18" x14ac:dyDescent="0.35">
      <c r="B34" s="26" t="s">
        <v>503</v>
      </c>
      <c r="C34" s="27"/>
      <c r="D34" s="27"/>
      <c r="E34" s="24"/>
      <c r="F34" s="24"/>
      <c r="G34" s="24"/>
      <c r="H34" s="24"/>
      <c r="I34" s="24"/>
      <c r="J34" s="24"/>
      <c r="K34" s="24"/>
      <c r="L34" s="24"/>
      <c r="M34" s="24"/>
      <c r="N34" s="24"/>
      <c r="O34" s="27"/>
      <c r="P34" s="27"/>
      <c r="Q34" s="27"/>
      <c r="R34" s="27"/>
      <c r="S34" s="27"/>
      <c r="T34" s="27"/>
      <c r="U34" s="27"/>
      <c r="V34" s="27"/>
      <c r="W34" s="27"/>
      <c r="X34" s="27"/>
      <c r="Y34" s="27"/>
      <c r="Z34" s="27"/>
    </row>
    <row r="35" spans="2:26" ht="15" customHeight="1" x14ac:dyDescent="0.3">
      <c r="I35" s="2"/>
      <c r="J35" s="2"/>
      <c r="K35" s="2"/>
      <c r="L35" s="2"/>
    </row>
    <row r="36" spans="2:26" ht="15" customHeight="1" x14ac:dyDescent="0.3">
      <c r="I36" s="2"/>
      <c r="J36" s="2"/>
      <c r="K36" s="2"/>
      <c r="L36" s="2"/>
    </row>
    <row r="37" spans="2:26" ht="15" customHeight="1" x14ac:dyDescent="0.3">
      <c r="I37" s="2"/>
      <c r="J37" s="2"/>
      <c r="K37" s="2"/>
      <c r="L37" s="2"/>
    </row>
    <row r="38" spans="2:26" ht="15" customHeight="1" x14ac:dyDescent="0.3">
      <c r="I38" s="2"/>
      <c r="J38" s="2"/>
      <c r="K38" s="2"/>
      <c r="L38" s="2"/>
    </row>
    <row r="39" spans="2:26" ht="15" customHeight="1" x14ac:dyDescent="0.3">
      <c r="I39" s="2"/>
      <c r="J39" s="2"/>
      <c r="K39" s="2"/>
      <c r="L39" s="2"/>
    </row>
    <row r="40" spans="2:26" ht="15" customHeight="1" x14ac:dyDescent="0.3">
      <c r="I40" s="2"/>
      <c r="J40" s="2"/>
      <c r="K40" s="2"/>
      <c r="L40" s="2"/>
    </row>
    <row r="41" spans="2:26" ht="15" customHeight="1" x14ac:dyDescent="0.3">
      <c r="I41" s="2"/>
      <c r="J41" s="2"/>
      <c r="K41" s="2"/>
      <c r="L41" s="2"/>
    </row>
    <row r="42" spans="2:26" ht="15" customHeight="1" x14ac:dyDescent="0.3">
      <c r="I42" s="2"/>
      <c r="J42" s="2"/>
      <c r="K42" s="2"/>
      <c r="L42" s="2"/>
    </row>
    <row r="43" spans="2:26" ht="15" customHeight="1" x14ac:dyDescent="0.3">
      <c r="I43" s="2"/>
      <c r="J43" s="2"/>
      <c r="K43" s="2"/>
      <c r="L43" s="2"/>
    </row>
    <row r="44" spans="2:26" ht="15" customHeight="1" x14ac:dyDescent="0.3">
      <c r="I44" s="2"/>
      <c r="J44" s="2"/>
      <c r="K44" s="2"/>
      <c r="L44" s="2"/>
    </row>
    <row r="45" spans="2:26" ht="15" customHeight="1" x14ac:dyDescent="0.3">
      <c r="I45" s="2"/>
      <c r="J45" s="2"/>
      <c r="K45" s="2"/>
      <c r="L45" s="2"/>
    </row>
    <row r="46" spans="2:26" ht="15" customHeight="1" x14ac:dyDescent="0.3">
      <c r="I46" s="2"/>
      <c r="J46" s="2"/>
      <c r="K46" s="2"/>
      <c r="L46" s="2"/>
    </row>
    <row r="47" spans="2:26" ht="15" customHeight="1" x14ac:dyDescent="0.3">
      <c r="I47" s="2"/>
      <c r="J47" s="2"/>
      <c r="K47" s="2"/>
      <c r="L47" s="2"/>
    </row>
    <row r="48" spans="2:26" ht="15" customHeight="1" x14ac:dyDescent="0.3">
      <c r="I48" s="2"/>
      <c r="J48" s="2"/>
      <c r="K48" s="2"/>
      <c r="L48" s="2"/>
    </row>
    <row r="49" spans="2:26" ht="15" customHeight="1" x14ac:dyDescent="0.3">
      <c r="I49" s="2"/>
      <c r="J49" s="2"/>
      <c r="K49" s="2"/>
      <c r="L49" s="2"/>
    </row>
    <row r="50" spans="2:26" ht="15" customHeight="1" x14ac:dyDescent="0.3">
      <c r="I50" s="2"/>
      <c r="J50" s="2"/>
      <c r="K50" s="2"/>
      <c r="L50" s="2"/>
    </row>
    <row r="51" spans="2:26" ht="15" customHeight="1" x14ac:dyDescent="0.3">
      <c r="I51" s="2"/>
      <c r="J51" s="2"/>
      <c r="K51" s="2"/>
      <c r="L51" s="2"/>
    </row>
    <row r="52" spans="2:26" ht="15" customHeight="1" x14ac:dyDescent="0.3">
      <c r="I52" s="2"/>
      <c r="J52" s="2"/>
      <c r="K52" s="2"/>
      <c r="L52" s="2"/>
    </row>
    <row r="53" spans="2:26" ht="15" customHeight="1" x14ac:dyDescent="0.3">
      <c r="I53" s="2"/>
      <c r="J53" s="2"/>
      <c r="K53" s="2"/>
      <c r="L53" s="2"/>
    </row>
    <row r="54" spans="2:26" ht="15" customHeight="1" x14ac:dyDescent="0.3">
      <c r="I54" s="2"/>
      <c r="J54" s="2"/>
      <c r="K54" s="2"/>
      <c r="L54" s="2"/>
    </row>
    <row r="55" spans="2:26" ht="15" customHeight="1" x14ac:dyDescent="0.3">
      <c r="B55" s="29"/>
      <c r="I55" s="2"/>
      <c r="J55" s="2"/>
      <c r="K55" s="2"/>
      <c r="L55" s="2"/>
    </row>
    <row r="57" spans="2:26" ht="18" x14ac:dyDescent="0.35">
      <c r="B57" s="30" t="s">
        <v>504</v>
      </c>
      <c r="C57" s="24"/>
      <c r="D57" s="24"/>
      <c r="E57" s="24"/>
      <c r="F57" s="24"/>
      <c r="G57" s="24"/>
      <c r="H57" s="24"/>
      <c r="I57" s="27"/>
      <c r="J57" s="27"/>
      <c r="K57" s="27"/>
      <c r="M57" s="26" t="s">
        <v>505</v>
      </c>
      <c r="N57" s="24"/>
      <c r="O57" s="24"/>
      <c r="P57" s="24"/>
      <c r="Q57" s="24"/>
      <c r="R57" s="24"/>
      <c r="S57" s="24"/>
      <c r="T57" s="24"/>
      <c r="U57" s="24"/>
      <c r="V57" s="24"/>
      <c r="W57" s="24"/>
      <c r="X57" s="24"/>
      <c r="Y57" s="24"/>
      <c r="Z57" s="24"/>
    </row>
    <row r="58" spans="2:26" ht="18" x14ac:dyDescent="0.3">
      <c r="B58" s="31"/>
      <c r="C58" s="25"/>
      <c r="D58" s="25"/>
      <c r="E58" s="25"/>
      <c r="F58" s="25"/>
      <c r="G58" s="25"/>
      <c r="H58" s="25"/>
    </row>
    <row r="59" spans="2:26" x14ac:dyDescent="0.3">
      <c r="B59" s="11" t="s">
        <v>506</v>
      </c>
      <c r="M59" s="11" t="s">
        <v>507</v>
      </c>
    </row>
    <row r="60" spans="2:26" x14ac:dyDescent="0.3">
      <c r="B60" s="132" t="s">
        <v>508</v>
      </c>
      <c r="G60" s="32"/>
      <c r="H60" s="32"/>
    </row>
    <row r="61" spans="2:26" ht="38.1" customHeight="1" thickBot="1" x14ac:dyDescent="0.35">
      <c r="B61" s="132"/>
      <c r="C61" s="133" t="s">
        <v>509</v>
      </c>
      <c r="D61" s="133"/>
      <c r="E61" s="133"/>
      <c r="F61" s="133"/>
      <c r="G61" s="133"/>
      <c r="H61" s="133"/>
      <c r="M61" s="10" t="s">
        <v>510</v>
      </c>
      <c r="U61" s="10" t="s">
        <v>511</v>
      </c>
    </row>
    <row r="62" spans="2:26" ht="48" customHeight="1" thickTop="1" thickBot="1" x14ac:dyDescent="0.35">
      <c r="B62" s="132"/>
      <c r="C62" s="33"/>
      <c r="D62" s="34" t="s">
        <v>512</v>
      </c>
      <c r="E62" s="34" t="s">
        <v>513</v>
      </c>
      <c r="F62" s="34" t="s">
        <v>514</v>
      </c>
      <c r="G62" s="34" t="s">
        <v>515</v>
      </c>
      <c r="H62" s="34" t="s">
        <v>516</v>
      </c>
      <c r="L62" s="134" t="s">
        <v>517</v>
      </c>
      <c r="M62" s="35">
        <v>5</v>
      </c>
      <c r="N62" s="36" cm="1">
        <f t="array" ref="N62">SUMPRODUCT((RiskAssessment[[ الاحتمالية]]=$M62)*(RiskAssessment[[ التأثير]]=N$67))</f>
        <v>0</v>
      </c>
      <c r="O62" s="36" cm="1">
        <f t="array" ref="O62">SUMPRODUCT((RiskAssessment[[ الاحتمالية]]=$M62)*(RiskAssessment[[ التأثير]]=O$67))</f>
        <v>0</v>
      </c>
      <c r="P62" s="37" cm="1">
        <f t="array" ref="P62">SUMPRODUCT((RiskAssessment[[ الاحتمالية]]=$M62)*(RiskAssessment[[ التأثير]]=P$67))</f>
        <v>0</v>
      </c>
      <c r="Q62" s="37" cm="1">
        <f t="array" ref="Q62">SUMPRODUCT((RiskAssessment[[ الاحتمالية]]=$M62)*(RiskAssessment[[ التأثير]]=Q$67))</f>
        <v>0</v>
      </c>
      <c r="R62" s="37" cm="1">
        <f t="array" ref="R62">SUMPRODUCT((RiskAssessment[[ الاحتمالية]]=$M62)*(RiskAssessment[[ التأثير]]=R$67))</f>
        <v>0</v>
      </c>
      <c r="S62" s="38"/>
      <c r="T62" s="134" t="s">
        <v>517</v>
      </c>
      <c r="U62" s="35">
        <v>5</v>
      </c>
      <c r="V62" s="36" cm="1">
        <f t="array" ref="V62">SUMPRODUCT((RiskAssessment[[ الاحتمالية بعد المعالجة]]=$U62)*(RiskAssessment[[ التأثير بعد المعالجة]]=V$67))</f>
        <v>0</v>
      </c>
      <c r="W62" s="36" cm="1">
        <f t="array" ref="W62">SUMPRODUCT((RiskAssessment[[ الاحتمالية بعد المعالجة]]=$U62)*(RiskAssessment[[ التأثير بعد المعالجة]]=W$67))</f>
        <v>0</v>
      </c>
      <c r="X62" s="37" cm="1">
        <f t="array" ref="X62">SUMPRODUCT((RiskAssessment[[ الاحتمالية بعد المعالجة]]=$U62)*(RiskAssessment[[ التأثير بعد المعالجة]]=X$67))</f>
        <v>0</v>
      </c>
      <c r="Y62" s="37" cm="1">
        <f t="array" ref="Y62">SUMPRODUCT((RiskAssessment[[ الاحتمالية بعد المعالجة]]=$U62)*(RiskAssessment[[ التأثير بعد المعالجة]]=Y$67))</f>
        <v>0</v>
      </c>
      <c r="Z62" s="37" cm="1">
        <f t="array" ref="Z62">SUMPRODUCT((RiskAssessment[[ الاحتمالية بعد المعالجة]]=$U62)*(RiskAssessment[[ التأثير بعد المعالجة]]=Z$67))</f>
        <v>0</v>
      </c>
    </row>
    <row r="63" spans="2:26" ht="48" customHeight="1" thickTop="1" thickBot="1" x14ac:dyDescent="0.35">
      <c r="B63" s="132"/>
      <c r="C63" s="34" t="s">
        <v>518</v>
      </c>
      <c r="D63" s="39" t="s">
        <v>519</v>
      </c>
      <c r="E63" s="39" t="s">
        <v>520</v>
      </c>
      <c r="F63" s="40" t="s">
        <v>521</v>
      </c>
      <c r="G63" s="40" t="s">
        <v>522</v>
      </c>
      <c r="H63" s="40" t="s">
        <v>523</v>
      </c>
      <c r="L63" s="134"/>
      <c r="M63" s="41">
        <v>4</v>
      </c>
      <c r="N63" s="42" cm="1">
        <f t="array" ref="N63">SUMPRODUCT((RiskAssessment[[ الاحتمالية]]=$M63)*(RiskAssessment[[ التأثير]]=N$67))</f>
        <v>0</v>
      </c>
      <c r="O63" s="36" cm="1">
        <f t="array" ref="O63">SUMPRODUCT((RiskAssessment[[ الاحتمالية]]=$M63)*(RiskAssessment[[ التأثير]]=O$67))</f>
        <v>0</v>
      </c>
      <c r="P63" s="37" cm="1">
        <f t="array" ref="P63">SUMPRODUCT((RiskAssessment[[ الاحتمالية]]=$M63)*(RiskAssessment[[ التأثير]]=P$67))</f>
        <v>2</v>
      </c>
      <c r="Q63" s="37" cm="1">
        <f t="array" ref="Q63">SUMPRODUCT((RiskAssessment[[ الاحتمالية]]=$M63)*(RiskAssessment[[ التأثير]]=Q$67))</f>
        <v>5</v>
      </c>
      <c r="R63" s="37" cm="1">
        <f t="array" ref="R63">SUMPRODUCT((RiskAssessment[[ الاحتمالية]]=$M63)*(RiskAssessment[[ التأثير]]=R$67))</f>
        <v>1</v>
      </c>
      <c r="S63" s="38"/>
      <c r="T63" s="134"/>
      <c r="U63" s="41">
        <v>4</v>
      </c>
      <c r="V63" s="42" cm="1">
        <f t="array" ref="V63">SUMPRODUCT((RiskAssessment[[ الاحتمالية بعد المعالجة]]=$U63)*(RiskAssessment[[ التأثير بعد المعالجة]]=V$67))</f>
        <v>0</v>
      </c>
      <c r="W63" s="36" cm="1">
        <f t="array" ref="W63">SUMPRODUCT((RiskAssessment[[ الاحتمالية بعد المعالجة]]=$U63)*(RiskAssessment[[ التأثير بعد المعالجة]]=W$67))</f>
        <v>0</v>
      </c>
      <c r="X63" s="37" cm="1">
        <f t="array" ref="X63">SUMPRODUCT((RiskAssessment[[ الاحتمالية بعد المعالجة]]=$U63)*(RiskAssessment[[ التأثير بعد المعالجة]]=X$67))</f>
        <v>0</v>
      </c>
      <c r="Y63" s="37" cm="1">
        <f t="array" ref="Y63">SUMPRODUCT((RiskAssessment[[ الاحتمالية بعد المعالجة]]=$U63)*(RiskAssessment[[ التأثير بعد المعالجة]]=Y$67))</f>
        <v>0</v>
      </c>
      <c r="Z63" s="37" cm="1">
        <f t="array" ref="Z63">SUMPRODUCT((RiskAssessment[[ الاحتمالية بعد المعالجة]]=$U63)*(RiskAssessment[[ التأثير بعد المعالجة]]=Z$67))</f>
        <v>0</v>
      </c>
    </row>
    <row r="64" spans="2:26" ht="48" customHeight="1" thickTop="1" thickBot="1" x14ac:dyDescent="0.35">
      <c r="B64" s="132"/>
      <c r="C64" s="34" t="s">
        <v>524</v>
      </c>
      <c r="D64" s="43" t="s">
        <v>525</v>
      </c>
      <c r="E64" s="39" t="s">
        <v>526</v>
      </c>
      <c r="F64" s="40" t="s">
        <v>527</v>
      </c>
      <c r="G64" s="40" t="s">
        <v>528</v>
      </c>
      <c r="H64" s="40" t="s">
        <v>522</v>
      </c>
      <c r="L64" s="134"/>
      <c r="M64" s="41">
        <v>3</v>
      </c>
      <c r="N64" s="42" cm="1">
        <f t="array" ref="N64">SUMPRODUCT((RiskAssessment[[ الاحتمالية]]=$M64)*(RiskAssessment[[ التأثير]]=N$67))</f>
        <v>0</v>
      </c>
      <c r="O64" s="36" cm="1">
        <f t="array" ref="O64">SUMPRODUCT((RiskAssessment[[ الاحتمالية]]=$M64)*(RiskAssessment[[ التأثير]]=O$67))</f>
        <v>0</v>
      </c>
      <c r="P64" s="36" cm="1">
        <f t="array" ref="P64">SUMPRODUCT((RiskAssessment[[ الاحتمالية]]=$M64)*(RiskAssessment[[ التأثير]]=P$67))</f>
        <v>5</v>
      </c>
      <c r="Q64" s="37" cm="1">
        <f t="array" ref="Q64">SUMPRODUCT((RiskAssessment[[ الاحتمالية]]=$M64)*(RiskAssessment[[ التأثير]]=Q$67))</f>
        <v>5</v>
      </c>
      <c r="R64" s="37" cm="1">
        <f t="array" ref="R64">SUMPRODUCT((RiskAssessment[[ الاحتمالية]]=$M64)*(RiskAssessment[[ التأثير]]=R$67))</f>
        <v>2</v>
      </c>
      <c r="S64" s="38"/>
      <c r="T64" s="134"/>
      <c r="U64" s="41">
        <v>3</v>
      </c>
      <c r="V64" s="42" cm="1">
        <f t="array" ref="V64">SUMPRODUCT((RiskAssessment[[ الاحتمالية بعد المعالجة]]=$U64)*(RiskAssessment[[ التأثير بعد المعالجة]]=V$67))</f>
        <v>0</v>
      </c>
      <c r="W64" s="36" cm="1">
        <f t="array" ref="W64">SUMPRODUCT((RiskAssessment[[ الاحتمالية بعد المعالجة]]=$U64)*(RiskAssessment[[ التأثير بعد المعالجة]]=W$67))</f>
        <v>0</v>
      </c>
      <c r="X64" s="36" cm="1">
        <f t="array" ref="X64">SUMPRODUCT((RiskAssessment[[ الاحتمالية بعد المعالجة]]=$U64)*(RiskAssessment[[ التأثير بعد المعالجة]]=X$67))</f>
        <v>0</v>
      </c>
      <c r="Y64" s="37" cm="1">
        <f t="array" ref="Y64">SUMPRODUCT((RiskAssessment[[ الاحتمالية بعد المعالجة]]=$U64)*(RiskAssessment[[ التأثير بعد المعالجة]]=Y$67))</f>
        <v>2</v>
      </c>
      <c r="Z64" s="37" cm="1">
        <f t="array" ref="Z64">SUMPRODUCT((RiskAssessment[[ الاحتمالية بعد المعالجة]]=$U64)*(RiskAssessment[[ التأثير بعد المعالجة]]=Z$67))</f>
        <v>0</v>
      </c>
    </row>
    <row r="65" spans="2:26" ht="48" customHeight="1" thickTop="1" thickBot="1" x14ac:dyDescent="0.35">
      <c r="B65" s="132"/>
      <c r="C65" s="34" t="s">
        <v>529</v>
      </c>
      <c r="D65" s="43" t="s">
        <v>530</v>
      </c>
      <c r="E65" s="39" t="s">
        <v>531</v>
      </c>
      <c r="F65" s="39" t="s">
        <v>532</v>
      </c>
      <c r="G65" s="40" t="s">
        <v>527</v>
      </c>
      <c r="H65" s="40" t="s">
        <v>521</v>
      </c>
      <c r="L65" s="134"/>
      <c r="M65" s="41">
        <v>2</v>
      </c>
      <c r="N65" s="42" cm="1">
        <f t="array" ref="N65">SUMPRODUCT((RiskAssessment[[ الاحتمالية]]=$M65)*(RiskAssessment[[ التأثير]]=N$67))</f>
        <v>0</v>
      </c>
      <c r="O65" s="42" cm="1">
        <f t="array" ref="O65">SUMPRODUCT((RiskAssessment[[ الاحتمالية]]=$M65)*(RiskAssessment[[ التأثير]]=O$67))</f>
        <v>1</v>
      </c>
      <c r="P65" s="36" cm="1">
        <f t="array" ref="P65">SUMPRODUCT((RiskAssessment[[ الاحتمالية]]=$M65)*(RiskAssessment[[ التأثير]]=P$67))</f>
        <v>1</v>
      </c>
      <c r="Q65" s="36" cm="1">
        <f t="array" ref="Q65">SUMPRODUCT((RiskAssessment[[ الاحتمالية]]=$M65)*(RiskAssessment[[ التأثير]]=Q$67))</f>
        <v>5</v>
      </c>
      <c r="R65" s="36" cm="1">
        <f t="array" ref="R65">SUMPRODUCT((RiskAssessment[[ الاحتمالية]]=$M65)*(RiskAssessment[[ التأثير]]=R$67))</f>
        <v>4</v>
      </c>
      <c r="S65" s="38"/>
      <c r="T65" s="134"/>
      <c r="U65" s="41">
        <v>2</v>
      </c>
      <c r="V65" s="42" cm="1">
        <f t="array" ref="V65">SUMPRODUCT((RiskAssessment[[ الاحتمالية بعد المعالجة]]=$U65)*(RiskAssessment[[ التأثير بعد المعالجة]]=V$67))</f>
        <v>1</v>
      </c>
      <c r="W65" s="42" cm="1">
        <f t="array" ref="W65">SUMPRODUCT((RiskAssessment[[ الاحتمالية بعد المعالجة]]=$U65)*(RiskAssessment[[ التأثير بعد المعالجة]]=W$67))</f>
        <v>3</v>
      </c>
      <c r="X65" s="36" cm="1">
        <f t="array" ref="X65">SUMPRODUCT((RiskAssessment[[ الاحتمالية بعد المعالجة]]=$U65)*(RiskAssessment[[ التأثير بعد المعالجة]]=X$67))</f>
        <v>7</v>
      </c>
      <c r="Y65" s="36" cm="1">
        <f t="array" ref="Y65">SUMPRODUCT((RiskAssessment[[ الاحتمالية بعد المعالجة]]=$U65)*(RiskAssessment[[ التأثير بعد المعالجة]]=Y$67))</f>
        <v>6</v>
      </c>
      <c r="Z65" s="36" cm="1">
        <f t="array" ref="Z65">SUMPRODUCT((RiskAssessment[[ الاحتمالية بعد المعالجة]]=$U65)*(RiskAssessment[[ التأثير بعد المعالجة]]=Z$67))</f>
        <v>0</v>
      </c>
    </row>
    <row r="66" spans="2:26" ht="48" customHeight="1" thickTop="1" thickBot="1" x14ac:dyDescent="0.35">
      <c r="B66" s="132"/>
      <c r="C66" s="34" t="s">
        <v>533</v>
      </c>
      <c r="D66" s="43" t="s">
        <v>513</v>
      </c>
      <c r="E66" s="43" t="s">
        <v>525</v>
      </c>
      <c r="F66" s="39" t="s">
        <v>531</v>
      </c>
      <c r="G66" s="39" t="s">
        <v>526</v>
      </c>
      <c r="H66" s="39" t="s">
        <v>520</v>
      </c>
      <c r="L66" s="134"/>
      <c r="M66" s="41">
        <v>1</v>
      </c>
      <c r="N66" s="42" cm="1">
        <f t="array" ref="N66">SUMPRODUCT((RiskAssessment[[ الاحتمالية]]=$M66)*(RiskAssessment[[ التأثير]]=N$67))</f>
        <v>0</v>
      </c>
      <c r="O66" s="42" cm="1">
        <f t="array" ref="O66">SUMPRODUCT((RiskAssessment[[ الاحتمالية]]=$M66)*(RiskAssessment[[ التأثير]]=O$67))</f>
        <v>0</v>
      </c>
      <c r="P66" s="42" cm="1">
        <f t="array" ref="P66">SUMPRODUCT((RiskAssessment[[ الاحتمالية]]=$M66)*(RiskAssessment[[ التأثير]]=P$67))</f>
        <v>0</v>
      </c>
      <c r="Q66" s="42" cm="1">
        <f t="array" ref="Q66">SUMPRODUCT((RiskAssessment[[ الاحتمالية]]=$M66)*(RiskAssessment[[ التأثير]]=Q$67))</f>
        <v>1</v>
      </c>
      <c r="R66" s="36" cm="1">
        <f t="array" ref="R66">SUMPRODUCT((RiskAssessment[[ الاحتمالية]]=$M66)*(RiskAssessment[[ التأثير]]=R$67))</f>
        <v>0</v>
      </c>
      <c r="S66" s="38"/>
      <c r="T66" s="134"/>
      <c r="U66" s="41">
        <v>1</v>
      </c>
      <c r="V66" s="42" cm="1">
        <f t="array" ref="V66">SUMPRODUCT((RiskAssessment[[ الاحتمالية بعد المعالجة]]=$U66)*(RiskAssessment[[ التأثير بعد المعالجة]]=V$67))</f>
        <v>0</v>
      </c>
      <c r="W66" s="42" cm="1">
        <f t="array" ref="W66">SUMPRODUCT((RiskAssessment[[ الاحتمالية بعد المعالجة]]=$U66)*(RiskAssessment[[ التأثير بعد المعالجة]]=W$67))</f>
        <v>0</v>
      </c>
      <c r="X66" s="42" cm="1">
        <f t="array" ref="X66">SUMPRODUCT((RiskAssessment[[ الاحتمالية بعد المعالجة]]=$U66)*(RiskAssessment[[ التأثير بعد المعالجة]]=X$67))</f>
        <v>2</v>
      </c>
      <c r="Y66" s="42" cm="1">
        <f t="array" ref="Y66">SUMPRODUCT((RiskAssessment[[ الاحتمالية بعد المعالجة]]=$U66)*(RiskAssessment[[ التأثير بعد المعالجة]]=Y$67))</f>
        <v>11</v>
      </c>
      <c r="Z66" s="36" cm="1">
        <f t="array" ref="Z66">SUMPRODUCT((RiskAssessment[[ الاحتمالية بعد المعالجة]]=$U66)*(RiskAssessment[[ التأثير بعد المعالجة]]=Z$67))</f>
        <v>0</v>
      </c>
    </row>
    <row r="67" spans="2:26" ht="48" customHeight="1" thickTop="1" thickBot="1" x14ac:dyDescent="0.35">
      <c r="B67" s="132"/>
      <c r="C67" s="34" t="s">
        <v>534</v>
      </c>
      <c r="D67" s="43" t="s">
        <v>535</v>
      </c>
      <c r="E67" s="43" t="s">
        <v>513</v>
      </c>
      <c r="F67" s="43" t="s">
        <v>530</v>
      </c>
      <c r="G67" s="43" t="s">
        <v>525</v>
      </c>
      <c r="H67" s="39" t="s">
        <v>519</v>
      </c>
      <c r="L67" s="134"/>
      <c r="M67" s="44"/>
      <c r="N67" s="45">
        <v>1</v>
      </c>
      <c r="O67" s="45">
        <v>2</v>
      </c>
      <c r="P67" s="45">
        <v>3</v>
      </c>
      <c r="Q67" s="45">
        <v>4</v>
      </c>
      <c r="R67" s="46">
        <v>5</v>
      </c>
      <c r="S67" s="38"/>
      <c r="T67" s="134"/>
      <c r="U67" s="44"/>
      <c r="V67" s="45">
        <v>1</v>
      </c>
      <c r="W67" s="45">
        <v>2</v>
      </c>
      <c r="X67" s="45">
        <v>3</v>
      </c>
      <c r="Y67" s="45">
        <v>4</v>
      </c>
      <c r="Z67" s="46">
        <v>5</v>
      </c>
    </row>
    <row r="68" spans="2:26" ht="32.25" customHeight="1" thickTop="1" x14ac:dyDescent="0.3">
      <c r="M68" s="131" t="s">
        <v>536</v>
      </c>
      <c r="N68" s="131"/>
      <c r="O68" s="131"/>
      <c r="P68" s="131"/>
      <c r="Q68" s="131"/>
      <c r="R68" s="131"/>
      <c r="S68" s="47"/>
      <c r="U68" s="131" t="s">
        <v>536</v>
      </c>
      <c r="V68" s="131"/>
      <c r="W68" s="131"/>
      <c r="X68" s="131"/>
      <c r="Y68" s="131"/>
      <c r="Z68" s="131"/>
    </row>
    <row r="70" spans="2:26" ht="15" customHeight="1" x14ac:dyDescent="0.3">
      <c r="B70" s="29"/>
      <c r="I70" s="2"/>
      <c r="J70" s="2"/>
      <c r="K70" s="2"/>
      <c r="L70" s="2"/>
    </row>
    <row r="71" spans="2:26" ht="15" customHeight="1" x14ac:dyDescent="0.3">
      <c r="B71" s="29"/>
      <c r="I71" s="3"/>
      <c r="J71" s="3"/>
      <c r="K71" s="3"/>
      <c r="L71" s="3"/>
      <c r="M71" s="3"/>
      <c r="N71" s="3"/>
      <c r="O71" s="3"/>
    </row>
    <row r="72" spans="2:26" ht="18" x14ac:dyDescent="0.35">
      <c r="B72" s="26" t="s">
        <v>537</v>
      </c>
      <c r="C72" s="24"/>
      <c r="D72" s="24"/>
      <c r="E72" s="24"/>
      <c r="F72" s="24"/>
      <c r="G72" s="24"/>
      <c r="H72" s="24"/>
      <c r="I72" s="24"/>
      <c r="J72" s="24"/>
      <c r="K72" s="24"/>
      <c r="L72" s="24"/>
      <c r="M72" s="24"/>
      <c r="N72" s="24"/>
      <c r="O72" s="24"/>
      <c r="P72" s="24"/>
      <c r="Q72" s="24"/>
      <c r="R72" s="24"/>
      <c r="S72" s="24"/>
      <c r="T72" s="24"/>
      <c r="U72" s="24"/>
      <c r="V72" s="24"/>
      <c r="W72" s="27"/>
      <c r="X72" s="27"/>
      <c r="Y72" s="27"/>
      <c r="Z72" s="27"/>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4"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7"/>
  <sheetViews>
    <sheetView showGridLines="0" workbookViewId="0"/>
  </sheetViews>
  <sheetFormatPr defaultRowHeight="14.4" x14ac:dyDescent="0.3"/>
  <cols>
    <col min="1" max="1" width="2.88671875" customWidth="1"/>
    <col min="2" max="2" width="11.6640625" bestFit="1" customWidth="1"/>
    <col min="3" max="3" width="14.33203125" bestFit="1" customWidth="1"/>
  </cols>
  <sheetData>
    <row r="4" spans="2:3" ht="18" x14ac:dyDescent="0.35">
      <c r="B4" s="15" t="s">
        <v>538</v>
      </c>
    </row>
    <row r="5" spans="2:3" ht="18" x14ac:dyDescent="0.35">
      <c r="B5" s="15"/>
    </row>
    <row r="6" spans="2:3" x14ac:dyDescent="0.3">
      <c r="B6" s="48" t="s">
        <v>539</v>
      </c>
      <c r="C6" s="48" t="s">
        <v>510</v>
      </c>
    </row>
    <row r="7" spans="2:3" x14ac:dyDescent="0.3">
      <c r="B7" t="s">
        <v>540</v>
      </c>
      <c r="C7">
        <f>COUNTIF(RiskAssessment[[ مستوى الخطر]],PreTreatmentRisksByRiskLevel[[#This Row],[مستوى الخطر]])</f>
        <v>2</v>
      </c>
    </row>
    <row r="8" spans="2:3" x14ac:dyDescent="0.3">
      <c r="B8" t="s">
        <v>541</v>
      </c>
      <c r="C8">
        <f>COUNTIF(RiskAssessment[[ مستوى الخطر]],PreTreatmentRisksByRiskLevel[[#This Row],[مستوى الخطر]])</f>
        <v>15</v>
      </c>
    </row>
    <row r="9" spans="2:3" x14ac:dyDescent="0.3">
      <c r="B9" t="s">
        <v>542</v>
      </c>
      <c r="C9">
        <f>COUNTIF(RiskAssessment[[ مستوى الخطر]],PreTreatmentRisksByRiskLevel[[#This Row],[مستوى الخطر]])</f>
        <v>9</v>
      </c>
    </row>
    <row r="10" spans="2:3" ht="15" customHeight="1" x14ac:dyDescent="0.3">
      <c r="B10" t="s">
        <v>543</v>
      </c>
      <c r="C10">
        <f>COUNTIF(RiskAssessment[[ مستوى الخطر]],PreTreatmentRisksByRiskLevel[[#This Row],[مستوى الخطر]])</f>
        <v>6</v>
      </c>
    </row>
    <row r="11" spans="2:3" ht="15" customHeight="1" x14ac:dyDescent="0.35">
      <c r="B11" s="15"/>
    </row>
    <row r="12" spans="2:3" ht="15" customHeight="1" x14ac:dyDescent="0.3">
      <c r="B12" s="65" t="e" vm="1">
        <v>#VALUE!</v>
      </c>
    </row>
    <row r="16" spans="2:3" x14ac:dyDescent="0.3">
      <c r="B16" t="s">
        <v>543</v>
      </c>
      <c r="C16">
        <v>6</v>
      </c>
    </row>
    <row r="17" spans="2:3" x14ac:dyDescent="0.3">
      <c r="B17" t="s">
        <v>544</v>
      </c>
      <c r="C17">
        <v>32</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G23"/>
  <sheetViews>
    <sheetView showGridLines="0" workbookViewId="0"/>
  </sheetViews>
  <sheetFormatPr defaultRowHeight="14.4" x14ac:dyDescent="0.3"/>
  <cols>
    <col min="1" max="1" width="2.88671875" customWidth="1"/>
    <col min="2" max="2" width="21" bestFit="1" customWidth="1"/>
    <col min="3" max="3" width="13.33203125" bestFit="1" customWidth="1"/>
    <col min="4" max="4" width="10.109375" bestFit="1" customWidth="1"/>
  </cols>
  <sheetData>
    <row r="4" spans="2:7" ht="18" x14ac:dyDescent="0.35">
      <c r="B4" s="15" t="s">
        <v>545</v>
      </c>
      <c r="F4" t="s">
        <v>546</v>
      </c>
    </row>
    <row r="5" spans="2:7" x14ac:dyDescent="0.3">
      <c r="F5" t="s">
        <v>547</v>
      </c>
      <c r="G5" t="s">
        <v>548</v>
      </c>
    </row>
    <row r="6" spans="2:7" x14ac:dyDescent="0.3">
      <c r="B6" s="66"/>
      <c r="C6" s="67"/>
      <c r="D6" s="68"/>
      <c r="F6" t="s">
        <v>75</v>
      </c>
      <c r="G6">
        <f>COUNTIF(RiskAssessment[[ مالك الخطر]],F6)</f>
        <v>5</v>
      </c>
    </row>
    <row r="7" spans="2:7" x14ac:dyDescent="0.3">
      <c r="B7" s="69"/>
      <c r="C7" s="63"/>
      <c r="D7" s="70"/>
      <c r="F7" t="s">
        <v>92</v>
      </c>
      <c r="G7">
        <f>COUNTIF(RiskAssessment[[ مالك الخطر]],F7)</f>
        <v>4</v>
      </c>
    </row>
    <row r="8" spans="2:7" x14ac:dyDescent="0.3">
      <c r="B8" s="69"/>
      <c r="C8" s="63"/>
      <c r="D8" s="70"/>
      <c r="F8" t="s">
        <v>107</v>
      </c>
      <c r="G8">
        <f>COUNTIF(RiskAssessment[[ مالك الخطر]],F8)</f>
        <v>3</v>
      </c>
    </row>
    <row r="9" spans="2:7" x14ac:dyDescent="0.3">
      <c r="B9" s="69"/>
      <c r="C9" s="63"/>
      <c r="D9" s="70"/>
      <c r="F9" t="s">
        <v>152</v>
      </c>
      <c r="G9">
        <f>COUNTIF(RiskAssessment[[ مالك الخطر]],F9)</f>
        <v>3</v>
      </c>
    </row>
    <row r="10" spans="2:7" x14ac:dyDescent="0.3">
      <c r="B10" s="69"/>
      <c r="C10" s="63"/>
      <c r="D10" s="70"/>
      <c r="F10" t="s">
        <v>166</v>
      </c>
      <c r="G10">
        <f>COUNTIF(RiskAssessment[[ مالك الخطر]],F10)</f>
        <v>2</v>
      </c>
    </row>
    <row r="11" spans="2:7" x14ac:dyDescent="0.3">
      <c r="B11" s="69"/>
      <c r="C11" s="63"/>
      <c r="D11" s="70"/>
      <c r="F11" t="s">
        <v>141</v>
      </c>
      <c r="G11">
        <f>COUNTIF(RiskAssessment[[ مالك الخطر]],F11)</f>
        <v>5</v>
      </c>
    </row>
    <row r="12" spans="2:7" x14ac:dyDescent="0.3">
      <c r="B12" s="69"/>
      <c r="C12" s="63"/>
      <c r="D12" s="70"/>
      <c r="F12" t="s">
        <v>233</v>
      </c>
      <c r="G12">
        <f>COUNTIF(RiskAssessment[[ مالك الخطر]],F12)</f>
        <v>2</v>
      </c>
    </row>
    <row r="13" spans="2:7" x14ac:dyDescent="0.3">
      <c r="B13" s="69"/>
      <c r="C13" s="63"/>
      <c r="D13" s="70"/>
      <c r="F13" t="s">
        <v>247</v>
      </c>
      <c r="G13">
        <f>COUNTIF(RiskAssessment[[ مالك الخطر]],F13)</f>
        <v>1</v>
      </c>
    </row>
    <row r="14" spans="2:7" x14ac:dyDescent="0.3">
      <c r="B14" s="69"/>
      <c r="C14" s="63"/>
      <c r="D14" s="70"/>
      <c r="F14" t="s">
        <v>113</v>
      </c>
      <c r="G14">
        <f>COUNTIF(RiskAssessment[[ مالك الخطر]],F14)</f>
        <v>3</v>
      </c>
    </row>
    <row r="15" spans="2:7" x14ac:dyDescent="0.3">
      <c r="B15" s="69"/>
      <c r="C15" s="63"/>
      <c r="D15" s="70"/>
      <c r="F15" t="s">
        <v>314</v>
      </c>
      <c r="G15">
        <f>COUNTIF(RiskAssessment[[ مالك الخطر]],F15)</f>
        <v>1</v>
      </c>
    </row>
    <row r="16" spans="2:7" x14ac:dyDescent="0.3">
      <c r="B16" s="69"/>
      <c r="C16" s="63"/>
      <c r="D16" s="70"/>
      <c r="F16" t="s">
        <v>327</v>
      </c>
      <c r="G16">
        <f>COUNTIF(RiskAssessment[[ مالك الخطر]],F16)</f>
        <v>1</v>
      </c>
    </row>
    <row r="17" spans="2:7" x14ac:dyDescent="0.3">
      <c r="B17" s="69"/>
      <c r="C17" s="63"/>
      <c r="D17" s="70"/>
      <c r="F17" t="s">
        <v>340</v>
      </c>
      <c r="G17">
        <f>COUNTIF(RiskAssessment[[ مالك الخطر]],F17)</f>
        <v>2</v>
      </c>
    </row>
    <row r="18" spans="2:7" x14ac:dyDescent="0.3">
      <c r="B18" s="69"/>
      <c r="C18" s="63"/>
      <c r="D18" s="70"/>
      <c r="F18" t="s">
        <v>544</v>
      </c>
      <c r="G18">
        <f>SUM(G6:G17)</f>
        <v>32</v>
      </c>
    </row>
    <row r="19" spans="2:7" x14ac:dyDescent="0.3">
      <c r="B19" s="69"/>
      <c r="C19" s="63"/>
      <c r="D19" s="70"/>
    </row>
    <row r="20" spans="2:7" x14ac:dyDescent="0.3">
      <c r="B20" s="69"/>
      <c r="C20" s="63"/>
      <c r="D20" s="70"/>
    </row>
    <row r="21" spans="2:7" x14ac:dyDescent="0.3">
      <c r="B21" s="69"/>
      <c r="C21" s="63"/>
      <c r="D21" s="70"/>
    </row>
    <row r="22" spans="2:7" x14ac:dyDescent="0.3">
      <c r="B22" s="69"/>
      <c r="C22" s="63"/>
      <c r="D22" s="70"/>
    </row>
    <row r="23" spans="2:7" x14ac:dyDescent="0.3">
      <c r="B23" s="71"/>
      <c r="C23" s="72"/>
      <c r="D23" s="7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7"/>
  <sheetViews>
    <sheetView showGridLines="0" workbookViewId="0"/>
  </sheetViews>
  <sheetFormatPr defaultRowHeight="14.4" x14ac:dyDescent="0.3"/>
  <cols>
    <col min="1" max="1" width="2.88671875" customWidth="1"/>
    <col min="2" max="2" width="11.6640625" bestFit="1" customWidth="1"/>
    <col min="3" max="3" width="15.109375" bestFit="1" customWidth="1"/>
  </cols>
  <sheetData>
    <row r="4" spans="2:3" ht="18" x14ac:dyDescent="0.35">
      <c r="B4" s="15" t="s">
        <v>549</v>
      </c>
    </row>
    <row r="6" spans="2:3" x14ac:dyDescent="0.3">
      <c r="B6" s="48" t="s">
        <v>539</v>
      </c>
      <c r="C6" s="48" t="s">
        <v>511</v>
      </c>
    </row>
    <row r="7" spans="2:3" x14ac:dyDescent="0.3">
      <c r="B7" t="s">
        <v>540</v>
      </c>
      <c r="C7">
        <f>COUNTIF(RiskAssessment[[ مستوى الخطر بعد المعالجة]],RisksByRiskLevelPreandPostTreatment10[[#This Row],[مستوى الخطر]])</f>
        <v>17</v>
      </c>
    </row>
    <row r="8" spans="2:3" x14ac:dyDescent="0.3">
      <c r="B8" t="s">
        <v>541</v>
      </c>
      <c r="C8">
        <f>COUNTIF(RiskAssessment[[ مستوى الخطر بعد المعالجة]],RisksByRiskLevelPreandPostTreatment10[[#This Row],[مستوى الخطر]])</f>
        <v>13</v>
      </c>
    </row>
    <row r="9" spans="2:3" x14ac:dyDescent="0.3">
      <c r="B9" t="s">
        <v>542</v>
      </c>
      <c r="C9">
        <f>COUNTIF(RiskAssessment[[ مستوى الخطر بعد المعالجة]],RisksByRiskLevelPreandPostTreatment10[[#This Row],[مستوى الخطر]])</f>
        <v>2</v>
      </c>
    </row>
    <row r="10" spans="2:3" x14ac:dyDescent="0.3">
      <c r="B10" t="s">
        <v>543</v>
      </c>
      <c r="C10">
        <f>COUNTIF(RiskAssessment[[ مستوى الخطر بعد المعالجة]],RisksByRiskLevelPreandPostTreatment10[[#This Row],[مستوى الخطر]])</f>
        <v>0</v>
      </c>
    </row>
    <row r="12" spans="2:3" x14ac:dyDescent="0.3">
      <c r="B12" s="65" t="e" vm="1">
        <v>#VALUE!</v>
      </c>
    </row>
    <row r="16" spans="2:3" x14ac:dyDescent="0.3">
      <c r="B16" t="s">
        <v>543</v>
      </c>
      <c r="C16">
        <v>0</v>
      </c>
    </row>
    <row r="17" spans="2:3" x14ac:dyDescent="0.3">
      <c r="B17" t="s">
        <v>544</v>
      </c>
      <c r="C17">
        <v>32</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7"/>
  <sheetViews>
    <sheetView showGridLines="0" workbookViewId="0"/>
  </sheetViews>
  <sheetFormatPr defaultRowHeight="14.4" x14ac:dyDescent="0.3"/>
  <cols>
    <col min="1" max="1" width="2.88671875" customWidth="1"/>
    <col min="2" max="2" width="11.6640625" bestFit="1" customWidth="1"/>
    <col min="3" max="3" width="14.33203125" bestFit="1" customWidth="1"/>
    <col min="4" max="4" width="15.109375" bestFit="1" customWidth="1"/>
  </cols>
  <sheetData>
    <row r="4" spans="2:4" ht="18" x14ac:dyDescent="0.3">
      <c r="B4" s="49" t="s">
        <v>550</v>
      </c>
    </row>
    <row r="6" spans="2:4" x14ac:dyDescent="0.3">
      <c r="B6" s="48" t="s">
        <v>539</v>
      </c>
      <c r="C6" s="48" t="s">
        <v>510</v>
      </c>
      <c r="D6" s="48" t="s">
        <v>511</v>
      </c>
    </row>
    <row r="7" spans="2:4" x14ac:dyDescent="0.3">
      <c r="B7" t="s">
        <v>540</v>
      </c>
      <c r="C7">
        <f>COUNTIF(RiskAssessment[[ مستوى الخطر]],PreMitigationRisksByRiskLevel10[[#This Row],[مستوى الخطر]])</f>
        <v>2</v>
      </c>
      <c r="D7">
        <f>COUNTIF(RiskAssessment[[ مستوى الخطر بعد المعالجة]],PreMitigationRisksByRiskLevel10[[#This Row],[مستوى الخطر]])</f>
        <v>17</v>
      </c>
    </row>
    <row r="8" spans="2:4" x14ac:dyDescent="0.3">
      <c r="B8" t="s">
        <v>541</v>
      </c>
      <c r="C8">
        <f>COUNTIF(RiskAssessment[[ مستوى الخطر]],PreMitigationRisksByRiskLevel10[[#This Row],[مستوى الخطر]])</f>
        <v>15</v>
      </c>
      <c r="D8">
        <f>COUNTIF(RiskAssessment[[ مستوى الخطر بعد المعالجة]],PreMitigationRisksByRiskLevel10[[#This Row],[مستوى الخطر]])</f>
        <v>13</v>
      </c>
    </row>
    <row r="9" spans="2:4" x14ac:dyDescent="0.3">
      <c r="B9" t="s">
        <v>542</v>
      </c>
      <c r="C9">
        <f>COUNTIF(RiskAssessment[[ مستوى الخطر]],PreMitigationRisksByRiskLevel10[[#This Row],[مستوى الخطر]])</f>
        <v>9</v>
      </c>
      <c r="D9">
        <f>COUNTIF(RiskAssessment[[ مستوى الخطر بعد المعالجة]],PreMitigationRisksByRiskLevel10[[#This Row],[مستوى الخطر]])</f>
        <v>2</v>
      </c>
    </row>
    <row r="10" spans="2:4" x14ac:dyDescent="0.3">
      <c r="B10" t="s">
        <v>543</v>
      </c>
      <c r="C10">
        <f>COUNTIF(RiskAssessment[[ مستوى الخطر]],PreMitigationRisksByRiskLevel10[[#This Row],[مستوى الخطر]])</f>
        <v>6</v>
      </c>
      <c r="D10">
        <f>COUNTIF(RiskAssessment[[ مستوى الخطر بعد المعالجة]],PreMitigationRisksByRiskLevel10[[#This Row],[مستوى الخطر]])</f>
        <v>0</v>
      </c>
    </row>
    <row r="12" spans="2:4" x14ac:dyDescent="0.3">
      <c r="B12" s="65" t="e" vm="1">
        <v>#VALUE!</v>
      </c>
    </row>
    <row r="16" spans="2:4" x14ac:dyDescent="0.3">
      <c r="B16" t="s">
        <v>543</v>
      </c>
      <c r="C16">
        <v>6</v>
      </c>
      <c r="D16">
        <v>0</v>
      </c>
    </row>
    <row r="17" spans="2:4" x14ac:dyDescent="0.3">
      <c r="B17" t="s">
        <v>544</v>
      </c>
      <c r="C17">
        <v>32</v>
      </c>
      <c r="D17">
        <v>32</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11"/>
  <sheetViews>
    <sheetView showGridLines="0" workbookViewId="0"/>
  </sheetViews>
  <sheetFormatPr defaultRowHeight="14.4" x14ac:dyDescent="0.3"/>
  <cols>
    <col min="1" max="1" width="2.88671875" customWidth="1"/>
    <col min="2" max="2" width="26.5546875" bestFit="1" customWidth="1"/>
    <col min="3" max="3" width="20.109375" bestFit="1" customWidth="1"/>
  </cols>
  <sheetData>
    <row r="4" spans="2:3" ht="18" x14ac:dyDescent="0.35">
      <c r="B4" s="15" t="s">
        <v>551</v>
      </c>
    </row>
    <row r="6" spans="2:3" x14ac:dyDescent="0.3">
      <c r="B6" s="65" t="e" vm="1">
        <v>#VALUE!</v>
      </c>
    </row>
    <row r="8" spans="2:3" x14ac:dyDescent="0.3">
      <c r="B8" t="s">
        <v>276</v>
      </c>
      <c r="C8">
        <v>1</v>
      </c>
    </row>
    <row r="9" spans="2:3" x14ac:dyDescent="0.3">
      <c r="B9" t="s">
        <v>419</v>
      </c>
      <c r="C9">
        <v>1</v>
      </c>
    </row>
    <row r="10" spans="2:3" x14ac:dyDescent="0.3">
      <c r="B10" t="s">
        <v>481</v>
      </c>
      <c r="C10">
        <v>2</v>
      </c>
    </row>
    <row r="11" spans="2:3" x14ac:dyDescent="0.3">
      <c r="B11" t="s">
        <v>544</v>
      </c>
      <c r="C11">
        <v>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11"/>
  <sheetViews>
    <sheetView showGridLines="0" workbookViewId="0"/>
  </sheetViews>
  <sheetFormatPr defaultRowHeight="14.4" x14ac:dyDescent="0.3"/>
  <cols>
    <col min="1" max="1" width="2.88671875" customWidth="1"/>
    <col min="2" max="2" width="12" bestFit="1" customWidth="1"/>
    <col min="3" max="3" width="21.5546875" bestFit="1" customWidth="1"/>
  </cols>
  <sheetData>
    <row r="4" spans="2:3" ht="18" x14ac:dyDescent="0.35">
      <c r="B4" s="15" t="s">
        <v>552</v>
      </c>
    </row>
    <row r="6" spans="2:3" x14ac:dyDescent="0.3">
      <c r="B6" s="65" t="e" vm="1">
        <v>#VALUE!</v>
      </c>
    </row>
    <row r="8" spans="2:3" x14ac:dyDescent="0.3">
      <c r="B8" t="s">
        <v>541</v>
      </c>
      <c r="C8">
        <v>5155000</v>
      </c>
    </row>
    <row r="9" spans="2:3" x14ac:dyDescent="0.3">
      <c r="B9" t="s">
        <v>542</v>
      </c>
      <c r="C9">
        <v>4490000</v>
      </c>
    </row>
    <row r="10" spans="2:3" x14ac:dyDescent="0.3">
      <c r="B10" t="s">
        <v>540</v>
      </c>
      <c r="C10">
        <v>0</v>
      </c>
    </row>
    <row r="11" spans="2:3" x14ac:dyDescent="0.3">
      <c r="B11" t="s">
        <v>544</v>
      </c>
      <c r="C11">
        <v>21295000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G19"/>
  <sheetViews>
    <sheetView showGridLines="0" workbookViewId="0"/>
  </sheetViews>
  <sheetFormatPr defaultRowHeight="14.4" x14ac:dyDescent="0.3"/>
  <cols>
    <col min="1" max="1" width="2.88671875" customWidth="1"/>
    <col min="2" max="2" width="31.5546875" bestFit="1" customWidth="1"/>
    <col min="3" max="3" width="12" bestFit="1" customWidth="1"/>
    <col min="4" max="4" width="9.44140625" bestFit="1" customWidth="1"/>
    <col min="5" max="5" width="6" bestFit="1" customWidth="1"/>
    <col min="6" max="6" width="10.33203125" bestFit="1" customWidth="1"/>
    <col min="7" max="7" width="11.33203125" bestFit="1" customWidth="1"/>
  </cols>
  <sheetData>
    <row r="4" spans="2:7" ht="18" x14ac:dyDescent="0.35">
      <c r="B4" s="15" t="s">
        <v>553</v>
      </c>
    </row>
    <row r="6" spans="2:7" x14ac:dyDescent="0.3">
      <c r="B6" s="65" t="e" vm="1">
        <v>#VALUE!</v>
      </c>
    </row>
    <row r="7" spans="2:7" x14ac:dyDescent="0.3">
      <c r="D7" t="s">
        <v>541</v>
      </c>
      <c r="E7" t="s">
        <v>542</v>
      </c>
      <c r="F7" t="s">
        <v>540</v>
      </c>
      <c r="G7" t="s">
        <v>544</v>
      </c>
    </row>
    <row r="8" spans="2:7" x14ac:dyDescent="0.3">
      <c r="D8">
        <v>1</v>
      </c>
      <c r="E8">
        <v>1</v>
      </c>
      <c r="F8">
        <v>1</v>
      </c>
      <c r="G8">
        <v>4</v>
      </c>
    </row>
    <row r="9" spans="2:7" x14ac:dyDescent="0.3">
      <c r="B9" t="s">
        <v>92</v>
      </c>
      <c r="C9">
        <v>2</v>
      </c>
      <c r="D9">
        <v>2</v>
      </c>
      <c r="E9">
        <v>2</v>
      </c>
      <c r="G9">
        <v>6</v>
      </c>
    </row>
    <row r="10" spans="2:7" x14ac:dyDescent="0.3">
      <c r="B10" t="s">
        <v>113</v>
      </c>
      <c r="C10">
        <v>1</v>
      </c>
      <c r="D10">
        <v>2</v>
      </c>
      <c r="E10">
        <v>1</v>
      </c>
      <c r="G10">
        <v>4</v>
      </c>
    </row>
    <row r="11" spans="2:7" x14ac:dyDescent="0.3">
      <c r="B11" t="s">
        <v>107</v>
      </c>
      <c r="D11">
        <v>1</v>
      </c>
      <c r="G11">
        <v>1</v>
      </c>
    </row>
    <row r="12" spans="2:7" x14ac:dyDescent="0.3">
      <c r="B12" t="s">
        <v>141</v>
      </c>
      <c r="C12">
        <v>2</v>
      </c>
      <c r="D12">
        <v>4</v>
      </c>
      <c r="E12">
        <v>1</v>
      </c>
      <c r="F12">
        <v>1</v>
      </c>
      <c r="G12">
        <v>8</v>
      </c>
    </row>
    <row r="13" spans="2:7" x14ac:dyDescent="0.3">
      <c r="B13" t="s">
        <v>166</v>
      </c>
      <c r="D13">
        <v>1</v>
      </c>
      <c r="E13">
        <v>1</v>
      </c>
      <c r="G13">
        <v>2</v>
      </c>
    </row>
    <row r="14" spans="2:7" x14ac:dyDescent="0.3">
      <c r="B14" t="s">
        <v>152</v>
      </c>
      <c r="D14">
        <v>1</v>
      </c>
      <c r="E14">
        <v>1</v>
      </c>
      <c r="G14">
        <v>2</v>
      </c>
    </row>
    <row r="15" spans="2:7" x14ac:dyDescent="0.3">
      <c r="B15" t="s">
        <v>314</v>
      </c>
      <c r="D15">
        <v>1</v>
      </c>
      <c r="G15">
        <v>1</v>
      </c>
    </row>
    <row r="16" spans="2:7" x14ac:dyDescent="0.3">
      <c r="B16" t="s">
        <v>327</v>
      </c>
      <c r="E16">
        <v>1</v>
      </c>
      <c r="G16">
        <v>1</v>
      </c>
    </row>
    <row r="17" spans="2:7" x14ac:dyDescent="0.3">
      <c r="B17" t="s">
        <v>340</v>
      </c>
      <c r="D17">
        <v>1</v>
      </c>
      <c r="E17">
        <v>1</v>
      </c>
      <c r="G17">
        <v>2</v>
      </c>
    </row>
    <row r="18" spans="2:7" x14ac:dyDescent="0.3">
      <c r="B18" t="s">
        <v>233</v>
      </c>
      <c r="D18">
        <v>1</v>
      </c>
      <c r="G18">
        <v>1</v>
      </c>
    </row>
    <row r="19" spans="2:7" x14ac:dyDescent="0.3">
      <c r="B19" t="s">
        <v>544</v>
      </c>
      <c r="C19">
        <v>6</v>
      </c>
      <c r="D19">
        <v>15</v>
      </c>
      <c r="E19">
        <v>9</v>
      </c>
      <c r="F19">
        <v>2</v>
      </c>
      <c r="G19">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8:C264"/>
  <sheetViews>
    <sheetView showGridLines="0" rightToLeft="1" zoomScaleNormal="100" workbookViewId="0">
      <selection activeCell="B2" sqref="B2"/>
    </sheetView>
  </sheetViews>
  <sheetFormatPr defaultColWidth="9.109375" defaultRowHeight="14.4" x14ac:dyDescent="0.3"/>
  <cols>
    <col min="1" max="1" width="2.88671875" style="4" customWidth="1"/>
    <col min="2" max="2" width="103" style="4" customWidth="1"/>
    <col min="3" max="3" width="10" style="4" customWidth="1"/>
    <col min="4" max="16384" width="9.109375" style="4"/>
  </cols>
  <sheetData>
    <row r="8" spans="2:3" ht="21" x14ac:dyDescent="0.3">
      <c r="B8" s="93" t="s">
        <v>554</v>
      </c>
      <c r="C8" s="94"/>
    </row>
    <row r="9" spans="2:3" x14ac:dyDescent="0.3">
      <c r="B9" s="94" t="s">
        <v>555</v>
      </c>
      <c r="C9" s="94"/>
    </row>
    <row r="10" spans="2:3" x14ac:dyDescent="0.3">
      <c r="B10" s="94"/>
      <c r="C10" s="94"/>
    </row>
    <row r="11" spans="2:3" ht="21" customHeight="1" x14ac:dyDescent="0.3">
      <c r="B11" s="95" t="s">
        <v>40</v>
      </c>
    </row>
    <row r="13" spans="2:3" ht="18" x14ac:dyDescent="0.3">
      <c r="B13" s="107" t="s">
        <v>556</v>
      </c>
    </row>
    <row r="14" spans="2:3" ht="18" customHeight="1" x14ac:dyDescent="0.3">
      <c r="B14" s="82" t="s">
        <v>557</v>
      </c>
    </row>
    <row r="15" spans="2:3" x14ac:dyDescent="0.3">
      <c r="B15" s="82" t="s">
        <v>558</v>
      </c>
    </row>
    <row r="16" spans="2:3" x14ac:dyDescent="0.3">
      <c r="B16" s="82" t="s">
        <v>559</v>
      </c>
    </row>
    <row r="17" spans="2:2" x14ac:dyDescent="0.3">
      <c r="B17" s="82" t="s">
        <v>560</v>
      </c>
    </row>
    <row r="18" spans="2:2" x14ac:dyDescent="0.3">
      <c r="B18" s="82" t="s">
        <v>561</v>
      </c>
    </row>
    <row r="19" spans="2:2" x14ac:dyDescent="0.3">
      <c r="B19" s="82" t="s">
        <v>562</v>
      </c>
    </row>
    <row r="20" spans="2:2" x14ac:dyDescent="0.3">
      <c r="B20" s="82" t="s">
        <v>563</v>
      </c>
    </row>
    <row r="21" spans="2:2" x14ac:dyDescent="0.3">
      <c r="B21" s="82" t="s">
        <v>564</v>
      </c>
    </row>
    <row r="22" spans="2:2" x14ac:dyDescent="0.3">
      <c r="B22" s="82" t="s">
        <v>565</v>
      </c>
    </row>
    <row r="23" spans="2:2" x14ac:dyDescent="0.3">
      <c r="B23" s="82" t="s">
        <v>566</v>
      </c>
    </row>
    <row r="24" spans="2:2" x14ac:dyDescent="0.3">
      <c r="B24" s="82" t="s">
        <v>567</v>
      </c>
    </row>
    <row r="25" spans="2:2" x14ac:dyDescent="0.3">
      <c r="B25" s="82" t="s">
        <v>568</v>
      </c>
    </row>
    <row r="26" spans="2:2" x14ac:dyDescent="0.3">
      <c r="B26" s="82" t="s">
        <v>569</v>
      </c>
    </row>
    <row r="27" spans="2:2" x14ac:dyDescent="0.3">
      <c r="B27" s="82" t="s">
        <v>570</v>
      </c>
    </row>
    <row r="28" spans="2:2" x14ac:dyDescent="0.3">
      <c r="B28" s="82" t="s">
        <v>571</v>
      </c>
    </row>
    <row r="29" spans="2:2" x14ac:dyDescent="0.3">
      <c r="B29" s="82" t="s">
        <v>572</v>
      </c>
    </row>
    <row r="30" spans="2:2" x14ac:dyDescent="0.3">
      <c r="B30" s="82" t="s">
        <v>573</v>
      </c>
    </row>
    <row r="31" spans="2:2" x14ac:dyDescent="0.3">
      <c r="B31" s="82" t="s">
        <v>574</v>
      </c>
    </row>
    <row r="32" spans="2:2" x14ac:dyDescent="0.3">
      <c r="B32" s="82" t="s">
        <v>575</v>
      </c>
    </row>
    <row r="33" spans="2:2" x14ac:dyDescent="0.3">
      <c r="B33" s="82" t="s">
        <v>576</v>
      </c>
    </row>
    <row r="34" spans="2:2" x14ac:dyDescent="0.3">
      <c r="B34" s="82" t="s">
        <v>577</v>
      </c>
    </row>
    <row r="35" spans="2:2" x14ac:dyDescent="0.3">
      <c r="B35" s="82" t="s">
        <v>578</v>
      </c>
    </row>
    <row r="36" spans="2:2" x14ac:dyDescent="0.3">
      <c r="B36" s="82" t="s">
        <v>579</v>
      </c>
    </row>
    <row r="37" spans="2:2" x14ac:dyDescent="0.3">
      <c r="B37" s="82" t="s">
        <v>580</v>
      </c>
    </row>
    <row r="38" spans="2:2" x14ac:dyDescent="0.3">
      <c r="B38" s="82" t="s">
        <v>581</v>
      </c>
    </row>
    <row r="39" spans="2:2" x14ac:dyDescent="0.3">
      <c r="B39" s="82" t="s">
        <v>582</v>
      </c>
    </row>
    <row r="40" spans="2:2" ht="18.75" customHeight="1" x14ac:dyDescent="0.3">
      <c r="B40" s="82" t="s">
        <v>583</v>
      </c>
    </row>
    <row r="41" spans="2:2" x14ac:dyDescent="0.3">
      <c r="B41" s="82" t="s">
        <v>584</v>
      </c>
    </row>
    <row r="42" spans="2:2" x14ac:dyDescent="0.3">
      <c r="B42" s="82" t="s">
        <v>585</v>
      </c>
    </row>
    <row r="43" spans="2:2" x14ac:dyDescent="0.3">
      <c r="B43" s="82" t="s">
        <v>586</v>
      </c>
    </row>
    <row r="44" spans="2:2" x14ac:dyDescent="0.3">
      <c r="B44" s="82" t="s">
        <v>587</v>
      </c>
    </row>
    <row r="45" spans="2:2" x14ac:dyDescent="0.3">
      <c r="B45" s="82" t="s">
        <v>588</v>
      </c>
    </row>
    <row r="46" spans="2:2" x14ac:dyDescent="0.3">
      <c r="B46" s="82" t="s">
        <v>589</v>
      </c>
    </row>
    <row r="47" spans="2:2" x14ac:dyDescent="0.3">
      <c r="B47" s="82" t="s">
        <v>590</v>
      </c>
    </row>
    <row r="48" spans="2:2" x14ac:dyDescent="0.3">
      <c r="B48" s="82" t="s">
        <v>591</v>
      </c>
    </row>
    <row r="49" spans="1:2" x14ac:dyDescent="0.3">
      <c r="B49" s="82" t="s">
        <v>592</v>
      </c>
    </row>
    <row r="50" spans="1:2" x14ac:dyDescent="0.3">
      <c r="B50" s="82" t="s">
        <v>593</v>
      </c>
    </row>
    <row r="51" spans="1:2" x14ac:dyDescent="0.3">
      <c r="B51" s="98"/>
    </row>
    <row r="52" spans="1:2" ht="18" x14ac:dyDescent="0.3">
      <c r="B52" s="107" t="s">
        <v>594</v>
      </c>
    </row>
    <row r="53" spans="1:2" x14ac:dyDescent="0.3">
      <c r="B53" s="82" t="s">
        <v>595</v>
      </c>
    </row>
    <row r="54" spans="1:2" x14ac:dyDescent="0.3">
      <c r="B54" s="82" t="s">
        <v>596</v>
      </c>
    </row>
    <row r="55" spans="1:2" x14ac:dyDescent="0.3">
      <c r="B55" s="82" t="s">
        <v>597</v>
      </c>
    </row>
    <row r="56" spans="1:2" x14ac:dyDescent="0.3">
      <c r="B56" s="82" t="s">
        <v>598</v>
      </c>
    </row>
    <row r="57" spans="1:2" x14ac:dyDescent="0.3">
      <c r="B57" s="82" t="s">
        <v>599</v>
      </c>
    </row>
    <row r="58" spans="1:2" x14ac:dyDescent="0.3">
      <c r="B58" s="82" t="s">
        <v>600</v>
      </c>
    </row>
    <row r="59" spans="1:2" x14ac:dyDescent="0.3">
      <c r="B59" s="82" t="s">
        <v>601</v>
      </c>
    </row>
    <row r="60" spans="1:2" x14ac:dyDescent="0.3">
      <c r="B60" s="82" t="s">
        <v>602</v>
      </c>
    </row>
    <row r="61" spans="1:2" x14ac:dyDescent="0.3">
      <c r="B61" s="98"/>
    </row>
    <row r="62" spans="1:2" ht="18" x14ac:dyDescent="0.3">
      <c r="B62" s="107" t="s">
        <v>603</v>
      </c>
    </row>
    <row r="63" spans="1:2" x14ac:dyDescent="0.3">
      <c r="B63" s="82" t="s">
        <v>604</v>
      </c>
    </row>
    <row r="64" spans="1:2" ht="15.6" x14ac:dyDescent="0.3">
      <c r="A64" s="108"/>
      <c r="B64" s="82" t="s">
        <v>605</v>
      </c>
    </row>
    <row r="65" spans="2:2" x14ac:dyDescent="0.3">
      <c r="B65" s="82" t="s">
        <v>606</v>
      </c>
    </row>
    <row r="66" spans="2:2" x14ac:dyDescent="0.3">
      <c r="B66" s="82" t="s">
        <v>607</v>
      </c>
    </row>
    <row r="67" spans="2:2" x14ac:dyDescent="0.3">
      <c r="B67" s="82" t="s">
        <v>608</v>
      </c>
    </row>
    <row r="68" spans="2:2" x14ac:dyDescent="0.3">
      <c r="B68" s="82" t="s">
        <v>609</v>
      </c>
    </row>
    <row r="69" spans="2:2" x14ac:dyDescent="0.3">
      <c r="B69" s="82" t="s">
        <v>610</v>
      </c>
    </row>
    <row r="70" spans="2:2" x14ac:dyDescent="0.3">
      <c r="B70" s="82" t="s">
        <v>611</v>
      </c>
    </row>
    <row r="71" spans="2:2" x14ac:dyDescent="0.3">
      <c r="B71" s="82" t="s">
        <v>612</v>
      </c>
    </row>
    <row r="72" spans="2:2" x14ac:dyDescent="0.3">
      <c r="B72" s="82" t="s">
        <v>613</v>
      </c>
    </row>
    <row r="73" spans="2:2" ht="16.5" customHeight="1" x14ac:dyDescent="0.3">
      <c r="B73" s="82" t="s">
        <v>614</v>
      </c>
    </row>
    <row r="74" spans="2:2" x14ac:dyDescent="0.3">
      <c r="B74" s="82" t="s">
        <v>615</v>
      </c>
    </row>
    <row r="75" spans="2:2" x14ac:dyDescent="0.3">
      <c r="B75" s="82" t="s">
        <v>616</v>
      </c>
    </row>
    <row r="76" spans="2:2" x14ac:dyDescent="0.3">
      <c r="B76" s="82" t="s">
        <v>617</v>
      </c>
    </row>
    <row r="77" spans="2:2" ht="15.6" x14ac:dyDescent="0.3">
      <c r="B77" s="97"/>
    </row>
    <row r="78" spans="2:2" ht="18" x14ac:dyDescent="0.3">
      <c r="B78" s="107" t="s">
        <v>618</v>
      </c>
    </row>
    <row r="79" spans="2:2" x14ac:dyDescent="0.3">
      <c r="B79" s="82" t="s">
        <v>619</v>
      </c>
    </row>
    <row r="80" spans="2:2" x14ac:dyDescent="0.3">
      <c r="B80" s="82" t="s">
        <v>620</v>
      </c>
    </row>
    <row r="81" spans="2:2" x14ac:dyDescent="0.3">
      <c r="B81" s="82" t="s">
        <v>621</v>
      </c>
    </row>
    <row r="82" spans="2:2" x14ac:dyDescent="0.3">
      <c r="B82" s="82" t="s">
        <v>622</v>
      </c>
    </row>
    <row r="83" spans="2:2" x14ac:dyDescent="0.3">
      <c r="B83" s="82" t="s">
        <v>623</v>
      </c>
    </row>
    <row r="84" spans="2:2" x14ac:dyDescent="0.3">
      <c r="B84" s="82" t="s">
        <v>624</v>
      </c>
    </row>
    <row r="85" spans="2:2" x14ac:dyDescent="0.3">
      <c r="B85" s="82" t="s">
        <v>625</v>
      </c>
    </row>
    <row r="86" spans="2:2" x14ac:dyDescent="0.3">
      <c r="B86" s="82" t="s">
        <v>626</v>
      </c>
    </row>
    <row r="87" spans="2:2" x14ac:dyDescent="0.3">
      <c r="B87" s="82" t="s">
        <v>627</v>
      </c>
    </row>
    <row r="88" spans="2:2" x14ac:dyDescent="0.3">
      <c r="B88" s="82" t="s">
        <v>628</v>
      </c>
    </row>
    <row r="89" spans="2:2" x14ac:dyDescent="0.3">
      <c r="B89" s="82" t="s">
        <v>629</v>
      </c>
    </row>
    <row r="90" spans="2:2" x14ac:dyDescent="0.3">
      <c r="B90" s="82" t="s">
        <v>630</v>
      </c>
    </row>
    <row r="91" spans="2:2" x14ac:dyDescent="0.3">
      <c r="B91" s="82" t="s">
        <v>631</v>
      </c>
    </row>
    <row r="92" spans="2:2" x14ac:dyDescent="0.3">
      <c r="B92" s="82" t="s">
        <v>632</v>
      </c>
    </row>
    <row r="93" spans="2:2" x14ac:dyDescent="0.3">
      <c r="B93" s="82" t="s">
        <v>633</v>
      </c>
    </row>
    <row r="94" spans="2:2" x14ac:dyDescent="0.3">
      <c r="B94" s="82" t="s">
        <v>634</v>
      </c>
    </row>
    <row r="95" spans="2:2" x14ac:dyDescent="0.3">
      <c r="B95" s="82" t="s">
        <v>635</v>
      </c>
    </row>
    <row r="96" spans="2:2" x14ac:dyDescent="0.3">
      <c r="B96" s="82" t="s">
        <v>636</v>
      </c>
    </row>
    <row r="97" spans="2:2" x14ac:dyDescent="0.3">
      <c r="B97" s="82" t="s">
        <v>637</v>
      </c>
    </row>
    <row r="98" spans="2:2" x14ac:dyDescent="0.3">
      <c r="B98" s="82" t="s">
        <v>638</v>
      </c>
    </row>
    <row r="99" spans="2:2" x14ac:dyDescent="0.3">
      <c r="B99" s="82" t="s">
        <v>639</v>
      </c>
    </row>
    <row r="100" spans="2:2" x14ac:dyDescent="0.3">
      <c r="B100" s="82" t="s">
        <v>640</v>
      </c>
    </row>
    <row r="101" spans="2:2" ht="15" customHeight="1" x14ac:dyDescent="0.3">
      <c r="B101" s="82" t="s">
        <v>641</v>
      </c>
    </row>
    <row r="102" spans="2:2" x14ac:dyDescent="0.3">
      <c r="B102" s="82" t="s">
        <v>642</v>
      </c>
    </row>
    <row r="103" spans="2:2" x14ac:dyDescent="0.3">
      <c r="B103" s="82" t="s">
        <v>643</v>
      </c>
    </row>
    <row r="104" spans="2:2" x14ac:dyDescent="0.3">
      <c r="B104" s="82" t="s">
        <v>644</v>
      </c>
    </row>
    <row r="105" spans="2:2" x14ac:dyDescent="0.3">
      <c r="B105" s="82" t="s">
        <v>645</v>
      </c>
    </row>
    <row r="106" spans="2:2" x14ac:dyDescent="0.3">
      <c r="B106" s="82" t="s">
        <v>646</v>
      </c>
    </row>
    <row r="107" spans="2:2" x14ac:dyDescent="0.3">
      <c r="B107" s="82" t="s">
        <v>647</v>
      </c>
    </row>
    <row r="108" spans="2:2" x14ac:dyDescent="0.3">
      <c r="B108" s="82" t="s">
        <v>648</v>
      </c>
    </row>
    <row r="109" spans="2:2" x14ac:dyDescent="0.3">
      <c r="B109" s="82" t="s">
        <v>649</v>
      </c>
    </row>
    <row r="110" spans="2:2" x14ac:dyDescent="0.3">
      <c r="B110" s="82" t="s">
        <v>650</v>
      </c>
    </row>
    <row r="111" spans="2:2" x14ac:dyDescent="0.3">
      <c r="B111" s="82" t="s">
        <v>651</v>
      </c>
    </row>
    <row r="112" spans="2:2" x14ac:dyDescent="0.3">
      <c r="B112" s="82" t="s">
        <v>652</v>
      </c>
    </row>
    <row r="113" spans="2:2" x14ac:dyDescent="0.3">
      <c r="B113" s="98"/>
    </row>
    <row r="114" spans="2:2" ht="15" thickBot="1" x14ac:dyDescent="0.35">
      <c r="B114" s="109"/>
    </row>
    <row r="115" spans="2:2" x14ac:dyDescent="0.3">
      <c r="B115" s="98"/>
    </row>
    <row r="116" spans="2:2" ht="18" x14ac:dyDescent="0.3">
      <c r="B116" s="107"/>
    </row>
    <row r="117" spans="2:2" ht="15.6" x14ac:dyDescent="0.3">
      <c r="B117" s="97"/>
    </row>
    <row r="118" spans="2:2" x14ac:dyDescent="0.3">
      <c r="B118" s="98"/>
    </row>
    <row r="119" spans="2:2" x14ac:dyDescent="0.3">
      <c r="B119" s="98"/>
    </row>
    <row r="120" spans="2:2" x14ac:dyDescent="0.3">
      <c r="B120" s="98"/>
    </row>
    <row r="121" spans="2:2" ht="15" customHeight="1" x14ac:dyDescent="0.3">
      <c r="B121" s="98"/>
    </row>
    <row r="122" spans="2:2" x14ac:dyDescent="0.3">
      <c r="B122" s="98"/>
    </row>
    <row r="123" spans="2:2" x14ac:dyDescent="0.3">
      <c r="B123" s="98"/>
    </row>
    <row r="124" spans="2:2" ht="15.6" x14ac:dyDescent="0.3">
      <c r="B124" s="97"/>
    </row>
    <row r="125" spans="2:2" x14ac:dyDescent="0.3">
      <c r="B125" s="98"/>
    </row>
    <row r="126" spans="2:2" x14ac:dyDescent="0.3">
      <c r="B126" s="98"/>
    </row>
    <row r="127" spans="2:2" ht="15.6" x14ac:dyDescent="0.3">
      <c r="B127" s="97"/>
    </row>
    <row r="128" spans="2:2" x14ac:dyDescent="0.3">
      <c r="B128" s="98"/>
    </row>
    <row r="129" spans="2:2" x14ac:dyDescent="0.3">
      <c r="B129" s="98"/>
    </row>
    <row r="130" spans="2:2" ht="15.6" x14ac:dyDescent="0.3">
      <c r="B130" s="97"/>
    </row>
    <row r="131" spans="2:2" x14ac:dyDescent="0.3">
      <c r="B131" s="98"/>
    </row>
    <row r="132" spans="2:2" x14ac:dyDescent="0.3">
      <c r="B132" s="98"/>
    </row>
    <row r="133" spans="2:2" x14ac:dyDescent="0.3">
      <c r="B133" s="98"/>
    </row>
    <row r="134" spans="2:2" x14ac:dyDescent="0.3">
      <c r="B134" s="98"/>
    </row>
    <row r="135" spans="2:2" x14ac:dyDescent="0.3">
      <c r="B135" s="98"/>
    </row>
    <row r="136" spans="2:2" x14ac:dyDescent="0.3">
      <c r="B136" s="98"/>
    </row>
    <row r="137" spans="2:2" ht="15.6" x14ac:dyDescent="0.3">
      <c r="B137" s="97"/>
    </row>
    <row r="138" spans="2:2" x14ac:dyDescent="0.3">
      <c r="B138" s="98"/>
    </row>
    <row r="139" spans="2:2" x14ac:dyDescent="0.3">
      <c r="B139" s="98"/>
    </row>
    <row r="140" spans="2:2" ht="15.6" x14ac:dyDescent="0.3">
      <c r="B140" s="97"/>
    </row>
    <row r="141" spans="2:2" x14ac:dyDescent="0.3">
      <c r="B141" s="98"/>
    </row>
    <row r="142" spans="2:2" x14ac:dyDescent="0.3">
      <c r="B142" s="98"/>
    </row>
    <row r="143" spans="2:2" x14ac:dyDescent="0.3">
      <c r="B143" s="98"/>
    </row>
    <row r="144" spans="2:2" ht="15.6" x14ac:dyDescent="0.3">
      <c r="B144" s="97"/>
    </row>
    <row r="145" spans="2:2" x14ac:dyDescent="0.3">
      <c r="B145" s="98"/>
    </row>
    <row r="146" spans="2:2" x14ac:dyDescent="0.3">
      <c r="B146" s="98"/>
    </row>
    <row r="147" spans="2:2" ht="18" x14ac:dyDescent="0.3">
      <c r="B147" s="107"/>
    </row>
    <row r="148" spans="2:2" ht="15.6" x14ac:dyDescent="0.3">
      <c r="B148" s="97"/>
    </row>
    <row r="149" spans="2:2" x14ac:dyDescent="0.3">
      <c r="B149" s="98"/>
    </row>
    <row r="150" spans="2:2" x14ac:dyDescent="0.3">
      <c r="B150" s="98"/>
    </row>
    <row r="151" spans="2:2" x14ac:dyDescent="0.3">
      <c r="B151" s="98"/>
    </row>
    <row r="152" spans="2:2" ht="15" customHeight="1" x14ac:dyDescent="0.3">
      <c r="B152" s="98"/>
    </row>
    <row r="153" spans="2:2" ht="15" customHeight="1" x14ac:dyDescent="0.3">
      <c r="B153" s="98"/>
    </row>
    <row r="154" spans="2:2" ht="15.6" x14ac:dyDescent="0.3">
      <c r="B154" s="97"/>
    </row>
    <row r="155" spans="2:2" x14ac:dyDescent="0.3">
      <c r="B155" s="98"/>
    </row>
    <row r="156" spans="2:2" x14ac:dyDescent="0.3">
      <c r="B156" s="98"/>
    </row>
    <row r="157" spans="2:2" x14ac:dyDescent="0.3">
      <c r="B157" s="98"/>
    </row>
    <row r="158" spans="2:2" x14ac:dyDescent="0.3">
      <c r="B158" s="98"/>
    </row>
    <row r="159" spans="2:2" x14ac:dyDescent="0.3">
      <c r="B159" s="98"/>
    </row>
    <row r="160" spans="2:2" ht="18" x14ac:dyDescent="0.3">
      <c r="B160" s="110"/>
    </row>
    <row r="161" spans="2:2" ht="15.6" x14ac:dyDescent="0.3">
      <c r="B161" s="97"/>
    </row>
    <row r="162" spans="2:2" ht="15" customHeight="1" x14ac:dyDescent="0.3">
      <c r="B162" s="98"/>
    </row>
    <row r="163" spans="2:2" x14ac:dyDescent="0.3">
      <c r="B163" s="98"/>
    </row>
    <row r="164" spans="2:2" x14ac:dyDescent="0.3">
      <c r="B164" s="98"/>
    </row>
    <row r="165" spans="2:2" x14ac:dyDescent="0.3">
      <c r="B165" s="98"/>
    </row>
    <row r="166" spans="2:2" ht="15.6" x14ac:dyDescent="0.3">
      <c r="B166" s="97"/>
    </row>
    <row r="167" spans="2:2" x14ac:dyDescent="0.3">
      <c r="B167" s="98"/>
    </row>
    <row r="168" spans="2:2" x14ac:dyDescent="0.3">
      <c r="B168" s="98"/>
    </row>
    <row r="169" spans="2:2" ht="15" customHeight="1" x14ac:dyDescent="0.3">
      <c r="B169" s="98"/>
    </row>
    <row r="170" spans="2:2" x14ac:dyDescent="0.3">
      <c r="B170" s="98"/>
    </row>
    <row r="171" spans="2:2" x14ac:dyDescent="0.3">
      <c r="B171" s="98"/>
    </row>
    <row r="172" spans="2:2" x14ac:dyDescent="0.3">
      <c r="B172" s="98"/>
    </row>
    <row r="173" spans="2:2" x14ac:dyDescent="0.3">
      <c r="B173" s="98"/>
    </row>
    <row r="174" spans="2:2" x14ac:dyDescent="0.3">
      <c r="B174" s="98"/>
    </row>
    <row r="175" spans="2:2" x14ac:dyDescent="0.3">
      <c r="B175" s="98"/>
    </row>
    <row r="176" spans="2:2" x14ac:dyDescent="0.3">
      <c r="B176" s="98"/>
    </row>
    <row r="177" spans="2:2" ht="15.6" x14ac:dyDescent="0.3">
      <c r="B177" s="97"/>
    </row>
    <row r="178" spans="2:2" x14ac:dyDescent="0.3">
      <c r="B178" s="98"/>
    </row>
    <row r="179" spans="2:2" x14ac:dyDescent="0.3">
      <c r="B179" s="98"/>
    </row>
    <row r="180" spans="2:2" ht="18" x14ac:dyDescent="0.3">
      <c r="B180" s="107"/>
    </row>
    <row r="181" spans="2:2" ht="15.6" x14ac:dyDescent="0.3">
      <c r="B181" s="97"/>
    </row>
    <row r="182" spans="2:2" ht="15" customHeight="1" x14ac:dyDescent="0.3">
      <c r="B182" s="98"/>
    </row>
    <row r="183" spans="2:2" x14ac:dyDescent="0.3">
      <c r="B183" s="98"/>
    </row>
    <row r="184" spans="2:2" ht="15" customHeight="1" x14ac:dyDescent="0.3">
      <c r="B184" s="98"/>
    </row>
    <row r="185" spans="2:2" ht="15" customHeight="1" x14ac:dyDescent="0.3">
      <c r="B185" s="98"/>
    </row>
    <row r="186" spans="2:2" ht="15.6" x14ac:dyDescent="0.3">
      <c r="B186" s="97"/>
    </row>
    <row r="187" spans="2:2" x14ac:dyDescent="0.3">
      <c r="B187" s="98"/>
    </row>
    <row r="188" spans="2:2" x14ac:dyDescent="0.3">
      <c r="B188" s="98"/>
    </row>
    <row r="189" spans="2:2" x14ac:dyDescent="0.3">
      <c r="B189" s="98"/>
    </row>
    <row r="190" spans="2:2" ht="18" x14ac:dyDescent="0.3">
      <c r="B190" s="110"/>
    </row>
    <row r="191" spans="2:2" ht="15.6" x14ac:dyDescent="0.3">
      <c r="B191" s="97"/>
    </row>
    <row r="192" spans="2:2" x14ac:dyDescent="0.3">
      <c r="B192" s="98"/>
    </row>
    <row r="193" spans="2:2" x14ac:dyDescent="0.3">
      <c r="B193" s="98"/>
    </row>
    <row r="194" spans="2:2" x14ac:dyDescent="0.3">
      <c r="B194" s="98"/>
    </row>
    <row r="195" spans="2:2" ht="15" customHeight="1" x14ac:dyDescent="0.3">
      <c r="B195" s="98"/>
    </row>
    <row r="196" spans="2:2" x14ac:dyDescent="0.3">
      <c r="B196" s="98"/>
    </row>
    <row r="197" spans="2:2" x14ac:dyDescent="0.3">
      <c r="B197" s="98"/>
    </row>
    <row r="198" spans="2:2" x14ac:dyDescent="0.3">
      <c r="B198" s="98"/>
    </row>
    <row r="199" spans="2:2" x14ac:dyDescent="0.3">
      <c r="B199" s="98"/>
    </row>
    <row r="200" spans="2:2" ht="18" x14ac:dyDescent="0.3">
      <c r="B200" s="110"/>
    </row>
    <row r="201" spans="2:2" ht="15.6" x14ac:dyDescent="0.3">
      <c r="B201" s="97"/>
    </row>
    <row r="202" spans="2:2" x14ac:dyDescent="0.3">
      <c r="B202" s="98"/>
    </row>
    <row r="203" spans="2:2" x14ac:dyDescent="0.3">
      <c r="B203" s="98"/>
    </row>
    <row r="204" spans="2:2" ht="15" customHeight="1" x14ac:dyDescent="0.3">
      <c r="B204" s="98"/>
    </row>
    <row r="205" spans="2:2" ht="15" customHeight="1" x14ac:dyDescent="0.3">
      <c r="B205" s="98"/>
    </row>
    <row r="206" spans="2:2" ht="15.6" x14ac:dyDescent="0.3">
      <c r="B206" s="97"/>
    </row>
    <row r="207" spans="2:2" x14ac:dyDescent="0.3">
      <c r="B207" s="98"/>
    </row>
    <row r="208" spans="2:2" x14ac:dyDescent="0.3">
      <c r="B208" s="98"/>
    </row>
    <row r="209" spans="2:2" ht="18" x14ac:dyDescent="0.3">
      <c r="B209" s="107"/>
    </row>
    <row r="210" spans="2:2" ht="15.6" x14ac:dyDescent="0.3">
      <c r="B210" s="97"/>
    </row>
    <row r="211" spans="2:2" ht="15" customHeight="1" x14ac:dyDescent="0.3">
      <c r="B211" s="98"/>
    </row>
    <row r="212" spans="2:2" x14ac:dyDescent="0.3">
      <c r="B212" s="98"/>
    </row>
    <row r="213" spans="2:2" x14ac:dyDescent="0.3">
      <c r="B213" s="98"/>
    </row>
    <row r="214" spans="2:2" ht="15" customHeight="1" x14ac:dyDescent="0.3">
      <c r="B214" s="98"/>
    </row>
    <row r="215" spans="2:2" x14ac:dyDescent="0.3">
      <c r="B215" s="98"/>
    </row>
    <row r="216" spans="2:2" x14ac:dyDescent="0.3">
      <c r="B216" s="98"/>
    </row>
    <row r="217" spans="2:2" ht="15.6" x14ac:dyDescent="0.3">
      <c r="B217" s="97"/>
    </row>
    <row r="218" spans="2:2" x14ac:dyDescent="0.3">
      <c r="B218" s="98"/>
    </row>
    <row r="219" spans="2:2" x14ac:dyDescent="0.3">
      <c r="B219" s="98"/>
    </row>
    <row r="220" spans="2:2" x14ac:dyDescent="0.3">
      <c r="B220" s="98"/>
    </row>
    <row r="221" spans="2:2" x14ac:dyDescent="0.3">
      <c r="B221" s="98"/>
    </row>
    <row r="222" spans="2:2" ht="18" x14ac:dyDescent="0.35">
      <c r="B222" s="111"/>
    </row>
    <row r="223" spans="2:2" ht="15.6" x14ac:dyDescent="0.3">
      <c r="B223" s="97"/>
    </row>
    <row r="224" spans="2:2" ht="15" customHeight="1" x14ac:dyDescent="0.3">
      <c r="B224" s="98"/>
    </row>
    <row r="225" spans="2:2" ht="15" customHeight="1" x14ac:dyDescent="0.3">
      <c r="B225" s="98"/>
    </row>
    <row r="226" spans="2:2" ht="15.6" x14ac:dyDescent="0.3">
      <c r="B226" s="97"/>
    </row>
    <row r="227" spans="2:2" x14ac:dyDescent="0.3">
      <c r="B227" s="98"/>
    </row>
    <row r="228" spans="2:2" x14ac:dyDescent="0.3">
      <c r="B228" s="98"/>
    </row>
    <row r="229" spans="2:2" x14ac:dyDescent="0.3">
      <c r="B229" s="98"/>
    </row>
    <row r="230" spans="2:2" ht="15.6" x14ac:dyDescent="0.3">
      <c r="B230" s="97"/>
    </row>
    <row r="231" spans="2:2" x14ac:dyDescent="0.3">
      <c r="B231" s="98"/>
    </row>
    <row r="232" spans="2:2" x14ac:dyDescent="0.3">
      <c r="B232" s="98"/>
    </row>
    <row r="233" spans="2:2" ht="15.6" x14ac:dyDescent="0.3">
      <c r="B233" s="97"/>
    </row>
    <row r="234" spans="2:2" x14ac:dyDescent="0.3">
      <c r="B234" s="98"/>
    </row>
    <row r="235" spans="2:2" x14ac:dyDescent="0.3">
      <c r="B235" s="98"/>
    </row>
    <row r="236" spans="2:2" x14ac:dyDescent="0.3">
      <c r="B236" s="98"/>
    </row>
    <row r="237" spans="2:2" ht="15.6" x14ac:dyDescent="0.3">
      <c r="B237" s="97"/>
    </row>
    <row r="238" spans="2:2" x14ac:dyDescent="0.3">
      <c r="B238" s="98"/>
    </row>
    <row r="239" spans="2:2" x14ac:dyDescent="0.3">
      <c r="B239" s="98"/>
    </row>
    <row r="240" spans="2:2" ht="15.6" x14ac:dyDescent="0.3">
      <c r="B240" s="97"/>
    </row>
    <row r="241" spans="2:2" x14ac:dyDescent="0.3">
      <c r="B241" s="98"/>
    </row>
    <row r="242" spans="2:2" ht="15" customHeight="1" x14ac:dyDescent="0.3">
      <c r="B242" s="98"/>
    </row>
    <row r="243" spans="2:2" x14ac:dyDescent="0.3">
      <c r="B243" s="98"/>
    </row>
    <row r="244" spans="2:2" x14ac:dyDescent="0.3">
      <c r="B244" s="98"/>
    </row>
    <row r="245" spans="2:2" ht="15.6" x14ac:dyDescent="0.3">
      <c r="B245" s="97"/>
    </row>
    <row r="246" spans="2:2" x14ac:dyDescent="0.3">
      <c r="B246" s="98"/>
    </row>
    <row r="247" spans="2:2" x14ac:dyDescent="0.3">
      <c r="B247" s="98"/>
    </row>
    <row r="248" spans="2:2" x14ac:dyDescent="0.3">
      <c r="B248" s="98"/>
    </row>
    <row r="249" spans="2:2" ht="15" customHeight="1" x14ac:dyDescent="0.3">
      <c r="B249" s="98"/>
    </row>
    <row r="250" spans="2:2" ht="15" customHeight="1" x14ac:dyDescent="0.3">
      <c r="B250" s="98"/>
    </row>
    <row r="251" spans="2:2" ht="15" customHeight="1" x14ac:dyDescent="0.3">
      <c r="B251" s="98"/>
    </row>
    <row r="252" spans="2:2" x14ac:dyDescent="0.3">
      <c r="B252" s="98"/>
    </row>
    <row r="253" spans="2:2" x14ac:dyDescent="0.3">
      <c r="B253" s="98"/>
    </row>
    <row r="254" spans="2:2" x14ac:dyDescent="0.3">
      <c r="B254" s="98"/>
    </row>
    <row r="255" spans="2:2" x14ac:dyDescent="0.3">
      <c r="B255" s="98"/>
    </row>
    <row r="256" spans="2:2" x14ac:dyDescent="0.3">
      <c r="B256" s="98"/>
    </row>
    <row r="257" spans="2:2" x14ac:dyDescent="0.3">
      <c r="B257" s="98"/>
    </row>
    <row r="258" spans="2:2" x14ac:dyDescent="0.3">
      <c r="B258" s="98"/>
    </row>
    <row r="259" spans="2:2" x14ac:dyDescent="0.3">
      <c r="B259" s="98"/>
    </row>
    <row r="260" spans="2:2" ht="15.6" x14ac:dyDescent="0.3">
      <c r="B260" s="97"/>
    </row>
    <row r="261" spans="2:2" x14ac:dyDescent="0.3">
      <c r="B261" s="98"/>
    </row>
    <row r="262" spans="2:2" x14ac:dyDescent="0.3">
      <c r="B262" s="98"/>
    </row>
    <row r="263" spans="2:2" ht="15" thickBot="1" x14ac:dyDescent="0.35">
      <c r="B263" s="84"/>
    </row>
    <row r="264" spans="2:2" ht="15" thickTop="1" x14ac:dyDescent="0.3"/>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&amp;L&amp;D&amp;Cالصفحة &amp;P من &amp;N&amp;Rسري - استخدام داخلي</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F38-B97A-4CB5-93A9-A8C42971A63C}">
  <sheetPr>
    <pageSetUpPr fitToPage="1"/>
  </sheetPr>
  <dimension ref="B8:G134"/>
  <sheetViews>
    <sheetView showGridLines="0" rightToLeft="1" workbookViewId="0">
      <selection activeCell="B2" sqref="B2"/>
    </sheetView>
  </sheetViews>
  <sheetFormatPr defaultColWidth="9.109375" defaultRowHeight="14.4" x14ac:dyDescent="0.3"/>
  <cols>
    <col min="1" max="1" width="2.88671875" style="13" customWidth="1"/>
    <col min="2" max="2" width="4.33203125" style="13" customWidth="1"/>
    <col min="3" max="3" width="22.33203125" style="13" customWidth="1"/>
    <col min="4" max="4" width="57" style="13" customWidth="1"/>
    <col min="5" max="5" width="62.5546875" style="13" customWidth="1"/>
    <col min="6" max="6" width="23.6640625" style="13" customWidth="1"/>
    <col min="7" max="7" width="29" style="13" customWidth="1"/>
    <col min="8" max="16384" width="9.109375" style="13"/>
  </cols>
  <sheetData>
    <row r="8" spans="2:7" ht="21" x14ac:dyDescent="0.3">
      <c r="B8" s="85" t="s">
        <v>653</v>
      </c>
      <c r="C8" s="85"/>
      <c r="D8" s="51"/>
    </row>
    <row r="9" spans="2:7" x14ac:dyDescent="0.3">
      <c r="B9" s="51" t="s">
        <v>654</v>
      </c>
      <c r="C9" s="51"/>
      <c r="D9" s="51"/>
    </row>
    <row r="10" spans="2:7" x14ac:dyDescent="0.3">
      <c r="B10" s="51" t="s">
        <v>655</v>
      </c>
      <c r="C10" s="51"/>
      <c r="D10" s="51"/>
    </row>
    <row r="11" spans="2:7" x14ac:dyDescent="0.3">
      <c r="B11" s="51"/>
      <c r="C11" s="51"/>
      <c r="D11" s="51"/>
    </row>
    <row r="12" spans="2:7" ht="21" customHeight="1" x14ac:dyDescent="0.3">
      <c r="B12" s="86" t="s">
        <v>40</v>
      </c>
      <c r="C12" s="86" t="s">
        <v>656</v>
      </c>
      <c r="D12" s="87" t="s">
        <v>657</v>
      </c>
      <c r="E12" s="87" t="s">
        <v>658</v>
      </c>
      <c r="F12" s="86" t="s">
        <v>659</v>
      </c>
      <c r="G12" s="86" t="s">
        <v>660</v>
      </c>
    </row>
    <row r="13" spans="2:7" ht="28.8" x14ac:dyDescent="0.3">
      <c r="B13" s="104" t="s">
        <v>69</v>
      </c>
      <c r="C13" s="104" t="s">
        <v>70</v>
      </c>
      <c r="D13" s="105" t="s">
        <v>72</v>
      </c>
      <c r="E13" s="105" t="s">
        <v>73</v>
      </c>
      <c r="F13" s="104" t="s">
        <v>74</v>
      </c>
      <c r="G13" s="104" t="s">
        <v>81</v>
      </c>
    </row>
    <row r="14" spans="2:7" ht="28.8" x14ac:dyDescent="0.3">
      <c r="B14" s="51" t="s">
        <v>87</v>
      </c>
      <c r="C14" s="51" t="s">
        <v>70</v>
      </c>
      <c r="D14" s="92" t="s">
        <v>89</v>
      </c>
      <c r="E14" s="51" t="s">
        <v>90</v>
      </c>
      <c r="F14" s="92" t="s">
        <v>91</v>
      </c>
      <c r="G14" s="82" t="s">
        <v>97</v>
      </c>
    </row>
    <row r="15" spans="2:7" ht="28.8" x14ac:dyDescent="0.3">
      <c r="B15" s="51" t="s">
        <v>102</v>
      </c>
      <c r="C15" s="51" t="s">
        <v>103</v>
      </c>
      <c r="D15" s="92" t="s">
        <v>105</v>
      </c>
      <c r="E15" s="92" t="s">
        <v>106</v>
      </c>
      <c r="F15" s="92" t="s">
        <v>91</v>
      </c>
      <c r="G15" s="82" t="s">
        <v>112</v>
      </c>
    </row>
    <row r="16" spans="2:7" ht="28.8" x14ac:dyDescent="0.3">
      <c r="B16" s="51" t="s">
        <v>118</v>
      </c>
      <c r="C16" s="51" t="s">
        <v>103</v>
      </c>
      <c r="D16" s="92" t="s">
        <v>120</v>
      </c>
      <c r="E16" s="92" t="s">
        <v>121</v>
      </c>
      <c r="F16" s="92" t="s">
        <v>91</v>
      </c>
      <c r="G16" s="82" t="s">
        <v>126</v>
      </c>
    </row>
    <row r="17" spans="2:7" ht="28.8" x14ac:dyDescent="0.3">
      <c r="B17" s="51" t="s">
        <v>131</v>
      </c>
      <c r="C17" s="51" t="s">
        <v>132</v>
      </c>
      <c r="D17" s="92" t="s">
        <v>134</v>
      </c>
      <c r="E17" s="92" t="s">
        <v>135</v>
      </c>
      <c r="F17" s="92" t="s">
        <v>91</v>
      </c>
      <c r="G17" s="82" t="s">
        <v>140</v>
      </c>
    </row>
    <row r="18" spans="2:7" ht="28.8" x14ac:dyDescent="0.3">
      <c r="B18" s="51" t="s">
        <v>146</v>
      </c>
      <c r="C18" s="51" t="s">
        <v>147</v>
      </c>
      <c r="D18" s="92" t="s">
        <v>149</v>
      </c>
      <c r="E18" s="92" t="s">
        <v>150</v>
      </c>
      <c r="F18" s="92" t="s">
        <v>151</v>
      </c>
      <c r="G18" s="82" t="s">
        <v>157</v>
      </c>
    </row>
    <row r="19" spans="2:7" ht="28.8" x14ac:dyDescent="0.3">
      <c r="B19" s="51" t="s">
        <v>161</v>
      </c>
      <c r="C19" s="51" t="s">
        <v>162</v>
      </c>
      <c r="D19" s="92" t="s">
        <v>164</v>
      </c>
      <c r="E19" s="92" t="s">
        <v>165</v>
      </c>
      <c r="F19" s="92" t="s">
        <v>151</v>
      </c>
      <c r="G19" s="82" t="s">
        <v>171</v>
      </c>
    </row>
    <row r="20" spans="2:7" ht="28.8" x14ac:dyDescent="0.3">
      <c r="B20" s="51" t="s">
        <v>175</v>
      </c>
      <c r="C20" s="51" t="s">
        <v>132</v>
      </c>
      <c r="D20" s="92" t="s">
        <v>177</v>
      </c>
      <c r="E20" s="92" t="s">
        <v>178</v>
      </c>
      <c r="F20" s="92" t="s">
        <v>179</v>
      </c>
      <c r="G20" s="82" t="s">
        <v>184</v>
      </c>
    </row>
    <row r="21" spans="2:7" ht="28.8" x14ac:dyDescent="0.3">
      <c r="B21" s="51" t="s">
        <v>190</v>
      </c>
      <c r="C21" s="51" t="s">
        <v>191</v>
      </c>
      <c r="D21" s="92" t="s">
        <v>193</v>
      </c>
      <c r="E21" s="92" t="s">
        <v>194</v>
      </c>
      <c r="F21" s="92" t="s">
        <v>195</v>
      </c>
      <c r="G21" s="82" t="s">
        <v>200</v>
      </c>
    </row>
    <row r="22" spans="2:7" ht="28.8" x14ac:dyDescent="0.3">
      <c r="B22" s="51" t="s">
        <v>204</v>
      </c>
      <c r="C22" s="51" t="s">
        <v>103</v>
      </c>
      <c r="D22" s="92" t="s">
        <v>206</v>
      </c>
      <c r="E22" s="92" t="s">
        <v>207</v>
      </c>
      <c r="F22" s="92" t="s">
        <v>179</v>
      </c>
      <c r="G22" s="82" t="s">
        <v>212</v>
      </c>
    </row>
    <row r="23" spans="2:7" ht="28.8" x14ac:dyDescent="0.3">
      <c r="B23" s="51" t="s">
        <v>216</v>
      </c>
      <c r="C23" s="51" t="s">
        <v>162</v>
      </c>
      <c r="D23" s="92" t="s">
        <v>218</v>
      </c>
      <c r="E23" s="92" t="s">
        <v>219</v>
      </c>
      <c r="F23" s="92" t="s">
        <v>195</v>
      </c>
      <c r="G23" s="82" t="s">
        <v>224</v>
      </c>
    </row>
    <row r="24" spans="2:7" ht="28.8" x14ac:dyDescent="0.3">
      <c r="B24" s="51" t="s">
        <v>228</v>
      </c>
      <c r="C24" s="51" t="s">
        <v>229</v>
      </c>
      <c r="D24" s="92" t="s">
        <v>231</v>
      </c>
      <c r="E24" s="92" t="s">
        <v>232</v>
      </c>
      <c r="F24" s="92" t="s">
        <v>179</v>
      </c>
      <c r="G24" s="82" t="s">
        <v>238</v>
      </c>
    </row>
    <row r="25" spans="2:7" ht="28.8" x14ac:dyDescent="0.3">
      <c r="B25" s="51" t="s">
        <v>242</v>
      </c>
      <c r="C25" s="51" t="s">
        <v>243</v>
      </c>
      <c r="D25" s="92" t="s">
        <v>245</v>
      </c>
      <c r="E25" s="92" t="s">
        <v>246</v>
      </c>
      <c r="F25" s="92" t="s">
        <v>91</v>
      </c>
      <c r="G25" s="82" t="s">
        <v>252</v>
      </c>
    </row>
    <row r="26" spans="2:7" ht="28.8" x14ac:dyDescent="0.3">
      <c r="B26" s="51" t="s">
        <v>256</v>
      </c>
      <c r="C26" s="51" t="s">
        <v>243</v>
      </c>
      <c r="D26" s="92" t="s">
        <v>258</v>
      </c>
      <c r="E26" s="92" t="s">
        <v>259</v>
      </c>
      <c r="F26" s="92" t="s">
        <v>260</v>
      </c>
      <c r="G26" s="82" t="s">
        <v>265</v>
      </c>
    </row>
    <row r="27" spans="2:7" ht="28.8" x14ac:dyDescent="0.3">
      <c r="B27" s="51" t="s">
        <v>269</v>
      </c>
      <c r="C27" s="51" t="s">
        <v>132</v>
      </c>
      <c r="D27" s="92" t="s">
        <v>271</v>
      </c>
      <c r="E27" s="92" t="s">
        <v>272</v>
      </c>
      <c r="F27" s="92" t="s">
        <v>151</v>
      </c>
      <c r="G27" s="82" t="s">
        <v>278</v>
      </c>
    </row>
    <row r="28" spans="2:7" ht="28.8" x14ac:dyDescent="0.3">
      <c r="B28" s="51" t="s">
        <v>282</v>
      </c>
      <c r="C28" s="51" t="s">
        <v>132</v>
      </c>
      <c r="D28" s="92" t="s">
        <v>284</v>
      </c>
      <c r="E28" s="92" t="s">
        <v>285</v>
      </c>
      <c r="F28" s="92" t="s">
        <v>91</v>
      </c>
      <c r="G28" s="82" t="s">
        <v>290</v>
      </c>
    </row>
    <row r="29" spans="2:7" ht="28.8" x14ac:dyDescent="0.3">
      <c r="B29" s="51" t="s">
        <v>294</v>
      </c>
      <c r="C29" s="51" t="s">
        <v>295</v>
      </c>
      <c r="D29" s="92" t="s">
        <v>297</v>
      </c>
      <c r="E29" s="92" t="s">
        <v>298</v>
      </c>
      <c r="F29" s="92" t="s">
        <v>195</v>
      </c>
      <c r="G29" s="82" t="s">
        <v>303</v>
      </c>
    </row>
    <row r="30" spans="2:7" ht="28.8" x14ac:dyDescent="0.3">
      <c r="B30" s="51" t="s">
        <v>308</v>
      </c>
      <c r="C30" s="51" t="s">
        <v>309</v>
      </c>
      <c r="D30" s="92" t="s">
        <v>311</v>
      </c>
      <c r="E30" s="92" t="s">
        <v>312</v>
      </c>
      <c r="F30" s="92" t="s">
        <v>313</v>
      </c>
      <c r="G30" s="82" t="s">
        <v>319</v>
      </c>
    </row>
    <row r="31" spans="2:7" ht="28.8" x14ac:dyDescent="0.3">
      <c r="B31" s="51" t="s">
        <v>323</v>
      </c>
      <c r="C31" s="51" t="s">
        <v>70</v>
      </c>
      <c r="D31" s="92" t="s">
        <v>325</v>
      </c>
      <c r="E31" s="92" t="s">
        <v>326</v>
      </c>
      <c r="F31" s="92" t="s">
        <v>151</v>
      </c>
      <c r="G31" s="82" t="s">
        <v>332</v>
      </c>
    </row>
    <row r="32" spans="2:7" ht="28.8" x14ac:dyDescent="0.3">
      <c r="B32" s="51" t="s">
        <v>336</v>
      </c>
      <c r="C32" s="51" t="s">
        <v>162</v>
      </c>
      <c r="D32" s="92" t="s">
        <v>338</v>
      </c>
      <c r="E32" s="92" t="s">
        <v>339</v>
      </c>
      <c r="F32" s="92" t="s">
        <v>91</v>
      </c>
      <c r="G32" s="82" t="s">
        <v>345</v>
      </c>
    </row>
    <row r="33" spans="2:7" ht="28.8" x14ac:dyDescent="0.3">
      <c r="B33" s="51" t="s">
        <v>349</v>
      </c>
      <c r="C33" s="51" t="s">
        <v>243</v>
      </c>
      <c r="D33" s="92" t="s">
        <v>351</v>
      </c>
      <c r="E33" s="92" t="s">
        <v>352</v>
      </c>
      <c r="F33" s="92" t="s">
        <v>179</v>
      </c>
      <c r="G33" s="82" t="s">
        <v>357</v>
      </c>
    </row>
    <row r="34" spans="2:7" ht="28.8" x14ac:dyDescent="0.3">
      <c r="B34" s="51" t="s">
        <v>363</v>
      </c>
      <c r="C34" s="51" t="s">
        <v>103</v>
      </c>
      <c r="D34" s="92" t="s">
        <v>365</v>
      </c>
      <c r="E34" s="92" t="s">
        <v>366</v>
      </c>
      <c r="F34" s="92" t="s">
        <v>91</v>
      </c>
      <c r="G34" s="82" t="s">
        <v>371</v>
      </c>
    </row>
    <row r="35" spans="2:7" ht="28.8" x14ac:dyDescent="0.3">
      <c r="B35" s="51" t="s">
        <v>375</v>
      </c>
      <c r="C35" s="51" t="s">
        <v>132</v>
      </c>
      <c r="D35" s="92" t="s">
        <v>377</v>
      </c>
      <c r="E35" s="92" t="s">
        <v>378</v>
      </c>
      <c r="F35" s="92" t="s">
        <v>151</v>
      </c>
      <c r="G35" s="82" t="s">
        <v>383</v>
      </c>
    </row>
    <row r="36" spans="2:7" ht="28.8" x14ac:dyDescent="0.3">
      <c r="B36" s="51" t="s">
        <v>387</v>
      </c>
      <c r="C36" s="51" t="s">
        <v>132</v>
      </c>
      <c r="D36" s="92" t="s">
        <v>389</v>
      </c>
      <c r="E36" s="92" t="s">
        <v>390</v>
      </c>
      <c r="F36" s="92" t="s">
        <v>74</v>
      </c>
      <c r="G36" s="82" t="s">
        <v>395</v>
      </c>
    </row>
    <row r="37" spans="2:7" ht="28.8" x14ac:dyDescent="0.3">
      <c r="B37" s="51" t="s">
        <v>400</v>
      </c>
      <c r="C37" s="51" t="s">
        <v>70</v>
      </c>
      <c r="D37" s="92" t="s">
        <v>402</v>
      </c>
      <c r="E37" s="92" t="s">
        <v>403</v>
      </c>
      <c r="F37" s="92" t="s">
        <v>151</v>
      </c>
      <c r="G37" s="82" t="s">
        <v>408</v>
      </c>
    </row>
    <row r="38" spans="2:7" ht="28.8" x14ac:dyDescent="0.3">
      <c r="B38" s="51" t="s">
        <v>412</v>
      </c>
      <c r="C38" s="51" t="s">
        <v>229</v>
      </c>
      <c r="D38" s="92" t="s">
        <v>414</v>
      </c>
      <c r="E38" s="92" t="s">
        <v>415</v>
      </c>
      <c r="F38" s="92" t="s">
        <v>179</v>
      </c>
      <c r="G38" s="82" t="s">
        <v>421</v>
      </c>
    </row>
    <row r="39" spans="2:7" ht="28.8" x14ac:dyDescent="0.3">
      <c r="B39" s="51" t="s">
        <v>425</v>
      </c>
      <c r="C39" s="51" t="s">
        <v>162</v>
      </c>
      <c r="D39" s="92" t="s">
        <v>427</v>
      </c>
      <c r="E39" s="92" t="s">
        <v>428</v>
      </c>
      <c r="F39" s="92" t="s">
        <v>151</v>
      </c>
      <c r="G39" s="82" t="s">
        <v>433</v>
      </c>
    </row>
    <row r="40" spans="2:7" ht="28.8" x14ac:dyDescent="0.3">
      <c r="B40" s="51" t="s">
        <v>437</v>
      </c>
      <c r="C40" s="51" t="s">
        <v>243</v>
      </c>
      <c r="D40" s="92" t="s">
        <v>439</v>
      </c>
      <c r="E40" s="92" t="s">
        <v>440</v>
      </c>
      <c r="F40" s="92" t="s">
        <v>91</v>
      </c>
      <c r="G40" s="82" t="s">
        <v>445</v>
      </c>
    </row>
    <row r="41" spans="2:7" ht="28.8" x14ac:dyDescent="0.3">
      <c r="B41" s="51" t="s">
        <v>449</v>
      </c>
      <c r="C41" s="51" t="s">
        <v>132</v>
      </c>
      <c r="D41" s="92" t="s">
        <v>451</v>
      </c>
      <c r="E41" s="92" t="s">
        <v>452</v>
      </c>
      <c r="F41" s="92" t="s">
        <v>195</v>
      </c>
      <c r="G41" s="82" t="s">
        <v>457</v>
      </c>
    </row>
    <row r="42" spans="2:7" ht="28.8" x14ac:dyDescent="0.3">
      <c r="B42" s="51" t="s">
        <v>461</v>
      </c>
      <c r="C42" s="51" t="s">
        <v>462</v>
      </c>
      <c r="D42" s="92" t="s">
        <v>464</v>
      </c>
      <c r="E42" s="92" t="s">
        <v>465</v>
      </c>
      <c r="F42" s="92" t="s">
        <v>179</v>
      </c>
      <c r="G42" s="82" t="s">
        <v>470</v>
      </c>
    </row>
    <row r="43" spans="2:7" ht="28.8" x14ac:dyDescent="0.3">
      <c r="B43" s="51" t="s">
        <v>474</v>
      </c>
      <c r="C43" s="51" t="s">
        <v>162</v>
      </c>
      <c r="D43" s="92" t="s">
        <v>476</v>
      </c>
      <c r="E43" s="92" t="s">
        <v>477</v>
      </c>
      <c r="F43" s="92" t="s">
        <v>260</v>
      </c>
      <c r="G43" s="82" t="s">
        <v>483</v>
      </c>
    </row>
    <row r="44" spans="2:7" ht="28.8" x14ac:dyDescent="0.3">
      <c r="B44" s="51" t="s">
        <v>488</v>
      </c>
      <c r="C44" s="51" t="s">
        <v>243</v>
      </c>
      <c r="D44" s="92" t="s">
        <v>490</v>
      </c>
      <c r="E44" s="92" t="s">
        <v>491</v>
      </c>
      <c r="F44" s="92" t="s">
        <v>179</v>
      </c>
      <c r="G44" s="82" t="s">
        <v>496</v>
      </c>
    </row>
    <row r="45" spans="2:7" x14ac:dyDescent="0.3">
      <c r="B45" s="51"/>
      <c r="C45" s="51"/>
      <c r="D45" s="92"/>
      <c r="E45" s="92"/>
      <c r="F45" s="92"/>
      <c r="G45" s="82"/>
    </row>
    <row r="46" spans="2:7" x14ac:dyDescent="0.3">
      <c r="B46" s="51"/>
      <c r="C46" s="51"/>
      <c r="D46" s="92"/>
      <c r="E46" s="92"/>
      <c r="F46" s="92"/>
      <c r="G46" s="82"/>
    </row>
    <row r="47" spans="2:7" x14ac:dyDescent="0.3">
      <c r="B47" s="51"/>
      <c r="C47" s="51"/>
      <c r="D47" s="92"/>
      <c r="E47" s="92"/>
      <c r="F47" s="92"/>
      <c r="G47" s="82"/>
    </row>
    <row r="48" spans="2:7" x14ac:dyDescent="0.3">
      <c r="B48" s="51"/>
      <c r="C48" s="51"/>
      <c r="D48" s="92"/>
      <c r="E48" s="92"/>
      <c r="F48" s="92"/>
      <c r="G48" s="82"/>
    </row>
    <row r="49" spans="2:7" x14ac:dyDescent="0.3">
      <c r="B49" s="51"/>
      <c r="C49" s="51"/>
      <c r="D49" s="92"/>
      <c r="E49" s="92"/>
      <c r="F49" s="92"/>
      <c r="G49" s="82"/>
    </row>
    <row r="50" spans="2:7" x14ac:dyDescent="0.3">
      <c r="B50" s="51"/>
      <c r="C50" s="51"/>
      <c r="D50" s="92"/>
      <c r="E50" s="92"/>
      <c r="F50" s="92"/>
      <c r="G50" s="82"/>
    </row>
    <row r="51" spans="2:7" x14ac:dyDescent="0.3">
      <c r="B51" s="51"/>
      <c r="C51" s="51"/>
      <c r="D51" s="92"/>
      <c r="E51" s="92"/>
      <c r="F51" s="92"/>
      <c r="G51" s="82"/>
    </row>
    <row r="52" spans="2:7" x14ac:dyDescent="0.3">
      <c r="B52" s="51"/>
      <c r="C52" s="51"/>
      <c r="D52" s="92"/>
      <c r="E52" s="92"/>
      <c r="F52" s="92"/>
      <c r="G52" s="82"/>
    </row>
    <row r="53" spans="2:7" x14ac:dyDescent="0.3">
      <c r="B53" s="51"/>
      <c r="C53" s="51"/>
      <c r="D53" s="92"/>
      <c r="E53" s="92"/>
      <c r="F53" s="92"/>
      <c r="G53" s="82"/>
    </row>
    <row r="54" spans="2:7" x14ac:dyDescent="0.3">
      <c r="B54" s="51"/>
      <c r="C54" s="51"/>
      <c r="D54" s="92"/>
      <c r="E54" s="92"/>
      <c r="F54" s="92"/>
      <c r="G54" s="82"/>
    </row>
    <row r="55" spans="2:7" x14ac:dyDescent="0.3">
      <c r="B55" s="51"/>
      <c r="C55" s="51"/>
      <c r="D55" s="92"/>
      <c r="E55" s="92"/>
      <c r="F55" s="92"/>
      <c r="G55" s="82"/>
    </row>
    <row r="56" spans="2:7" x14ac:dyDescent="0.3">
      <c r="B56" s="51"/>
      <c r="C56" s="51"/>
      <c r="D56" s="92"/>
      <c r="E56" s="92"/>
      <c r="F56" s="92"/>
      <c r="G56" s="82"/>
    </row>
    <row r="57" spans="2:7" x14ac:dyDescent="0.3">
      <c r="B57" s="51"/>
      <c r="C57" s="51"/>
      <c r="D57" s="92"/>
      <c r="E57" s="92"/>
      <c r="F57" s="92"/>
      <c r="G57" s="82"/>
    </row>
    <row r="58" spans="2:7" x14ac:dyDescent="0.3">
      <c r="B58" s="51"/>
      <c r="C58" s="51"/>
      <c r="D58" s="92"/>
      <c r="E58" s="92"/>
      <c r="F58" s="92"/>
      <c r="G58" s="92"/>
    </row>
    <row r="59" spans="2:7" x14ac:dyDescent="0.3">
      <c r="B59" s="51"/>
      <c r="C59" s="51"/>
      <c r="D59" s="92"/>
      <c r="E59" s="92"/>
      <c r="F59" s="92"/>
      <c r="G59" s="82"/>
    </row>
    <row r="60" spans="2:7" x14ac:dyDescent="0.3">
      <c r="B60" s="51"/>
      <c r="C60" s="51"/>
      <c r="D60" s="92"/>
      <c r="E60" s="92"/>
      <c r="F60" s="92"/>
      <c r="G60" s="82"/>
    </row>
    <row r="61" spans="2:7" x14ac:dyDescent="0.3">
      <c r="B61" s="51"/>
      <c r="C61" s="51"/>
      <c r="D61" s="92"/>
      <c r="E61" s="92"/>
      <c r="F61" s="92"/>
      <c r="G61" s="82"/>
    </row>
    <row r="62" spans="2:7" x14ac:dyDescent="0.3">
      <c r="B62" s="51"/>
      <c r="C62" s="51"/>
      <c r="D62" s="92"/>
      <c r="E62" s="92"/>
      <c r="F62" s="92"/>
      <c r="G62" s="82"/>
    </row>
    <row r="63" spans="2:7" x14ac:dyDescent="0.3">
      <c r="B63" s="51"/>
      <c r="C63" s="51"/>
      <c r="D63" s="92"/>
      <c r="E63" s="92"/>
      <c r="F63" s="92"/>
      <c r="G63" s="82"/>
    </row>
    <row r="64" spans="2:7" x14ac:dyDescent="0.3">
      <c r="B64" s="51"/>
      <c r="C64" s="51"/>
      <c r="D64" s="92"/>
      <c r="E64" s="92"/>
      <c r="F64" s="92"/>
      <c r="G64" s="82"/>
    </row>
    <row r="65" spans="2:7" x14ac:dyDescent="0.3">
      <c r="B65" s="51"/>
      <c r="C65" s="51"/>
      <c r="D65" s="92"/>
      <c r="E65" s="92"/>
      <c r="F65" s="92"/>
      <c r="G65" s="82"/>
    </row>
    <row r="66" spans="2:7" x14ac:dyDescent="0.3">
      <c r="B66" s="51"/>
      <c r="C66" s="51"/>
      <c r="D66" s="92"/>
      <c r="E66" s="92"/>
      <c r="F66" s="92"/>
      <c r="G66" s="82"/>
    </row>
    <row r="67" spans="2:7" x14ac:dyDescent="0.3">
      <c r="B67" s="51"/>
      <c r="C67" s="51"/>
      <c r="D67" s="92"/>
      <c r="E67" s="92"/>
      <c r="F67" s="92"/>
      <c r="G67" s="82"/>
    </row>
    <row r="68" spans="2:7" x14ac:dyDescent="0.3">
      <c r="B68" s="51"/>
      <c r="C68" s="51"/>
      <c r="D68" s="92"/>
      <c r="E68" s="92"/>
      <c r="F68" s="92"/>
      <c r="G68" s="82"/>
    </row>
    <row r="69" spans="2:7" x14ac:dyDescent="0.3">
      <c r="B69" s="51"/>
      <c r="C69" s="51"/>
      <c r="D69" s="92"/>
      <c r="E69" s="92"/>
      <c r="F69" s="92"/>
      <c r="G69" s="82"/>
    </row>
    <row r="70" spans="2:7" x14ac:dyDescent="0.3">
      <c r="B70" s="51"/>
      <c r="C70" s="51"/>
      <c r="D70" s="92"/>
      <c r="E70" s="92"/>
      <c r="F70" s="92"/>
      <c r="G70" s="82"/>
    </row>
    <row r="71" spans="2:7" x14ac:dyDescent="0.3">
      <c r="B71" s="51"/>
      <c r="C71" s="51"/>
      <c r="D71" s="92"/>
      <c r="E71" s="92"/>
      <c r="F71" s="92"/>
      <c r="G71" s="82"/>
    </row>
    <row r="72" spans="2:7" x14ac:dyDescent="0.3">
      <c r="B72" s="51"/>
      <c r="C72" s="51"/>
      <c r="D72" s="92"/>
      <c r="E72" s="92"/>
      <c r="F72" s="92"/>
      <c r="G72" s="82"/>
    </row>
    <row r="73" spans="2:7" x14ac:dyDescent="0.3">
      <c r="B73" s="51"/>
      <c r="C73" s="51"/>
      <c r="D73" s="92"/>
      <c r="E73" s="92"/>
      <c r="F73" s="92"/>
      <c r="G73" s="82"/>
    </row>
    <row r="74" spans="2:7" x14ac:dyDescent="0.3">
      <c r="B74" s="51"/>
      <c r="C74" s="51"/>
      <c r="D74" s="92"/>
      <c r="E74" s="92"/>
      <c r="F74" s="92"/>
      <c r="G74" s="82"/>
    </row>
    <row r="75" spans="2:7" x14ac:dyDescent="0.3">
      <c r="B75" s="51"/>
      <c r="C75" s="51"/>
      <c r="D75" s="92"/>
      <c r="E75" s="92"/>
      <c r="F75" s="92"/>
      <c r="G75" s="82"/>
    </row>
    <row r="76" spans="2:7" x14ac:dyDescent="0.3">
      <c r="B76" s="51"/>
      <c r="C76" s="51"/>
      <c r="D76" s="92"/>
      <c r="E76" s="92"/>
      <c r="F76" s="92"/>
      <c r="G76" s="82"/>
    </row>
    <row r="77" spans="2:7" x14ac:dyDescent="0.3">
      <c r="B77" s="51"/>
      <c r="C77" s="51"/>
      <c r="D77" s="92"/>
      <c r="E77" s="92"/>
      <c r="F77" s="92"/>
      <c r="G77" s="82"/>
    </row>
    <row r="78" spans="2:7" x14ac:dyDescent="0.3">
      <c r="B78" s="51"/>
      <c r="C78" s="51"/>
      <c r="D78" s="92"/>
      <c r="E78" s="92"/>
      <c r="F78" s="92"/>
      <c r="G78" s="82"/>
    </row>
    <row r="79" spans="2:7" x14ac:dyDescent="0.3">
      <c r="B79" s="51"/>
      <c r="C79" s="51"/>
      <c r="D79" s="92"/>
      <c r="E79" s="92"/>
      <c r="F79" s="92"/>
      <c r="G79" s="82"/>
    </row>
    <row r="80" spans="2:7" x14ac:dyDescent="0.3">
      <c r="B80" s="51"/>
      <c r="C80" s="51"/>
      <c r="D80" s="92"/>
      <c r="E80" s="92"/>
      <c r="F80" s="92"/>
      <c r="G80" s="82"/>
    </row>
    <row r="81" spans="2:7" x14ac:dyDescent="0.3">
      <c r="B81" s="51"/>
      <c r="C81" s="51"/>
      <c r="D81" s="92"/>
      <c r="E81" s="92"/>
      <c r="F81" s="92"/>
      <c r="G81" s="82"/>
    </row>
    <row r="82" spans="2:7" x14ac:dyDescent="0.3">
      <c r="B82" s="51"/>
      <c r="C82" s="51"/>
      <c r="D82" s="92"/>
      <c r="E82" s="92"/>
      <c r="F82" s="92"/>
      <c r="G82" s="82"/>
    </row>
    <row r="83" spans="2:7" x14ac:dyDescent="0.3">
      <c r="B83" s="51"/>
      <c r="C83" s="51"/>
      <c r="D83" s="92"/>
      <c r="E83" s="92"/>
      <c r="F83" s="92"/>
      <c r="G83" s="82"/>
    </row>
    <row r="84" spans="2:7" x14ac:dyDescent="0.3">
      <c r="B84" s="51"/>
      <c r="C84" s="51"/>
      <c r="D84" s="92"/>
      <c r="E84" s="92"/>
      <c r="F84" s="92"/>
      <c r="G84" s="82"/>
    </row>
    <row r="85" spans="2:7" x14ac:dyDescent="0.3">
      <c r="B85" s="51"/>
      <c r="C85" s="51"/>
      <c r="D85" s="92"/>
      <c r="E85" s="92"/>
      <c r="F85" s="92"/>
      <c r="G85" s="82"/>
    </row>
    <row r="86" spans="2:7" x14ac:dyDescent="0.3">
      <c r="B86" s="51"/>
      <c r="C86" s="51"/>
      <c r="D86" s="92"/>
      <c r="E86" s="92"/>
      <c r="F86" s="92"/>
      <c r="G86" s="82"/>
    </row>
    <row r="87" spans="2:7" x14ac:dyDescent="0.3">
      <c r="B87" s="51"/>
      <c r="C87" s="51"/>
      <c r="D87" s="92"/>
      <c r="E87" s="92"/>
      <c r="F87" s="92"/>
      <c r="G87" s="82"/>
    </row>
    <row r="88" spans="2:7" x14ac:dyDescent="0.3">
      <c r="B88" s="51"/>
      <c r="C88" s="51"/>
      <c r="D88" s="92"/>
      <c r="E88" s="92"/>
      <c r="F88" s="92"/>
      <c r="G88" s="82"/>
    </row>
    <row r="89" spans="2:7" x14ac:dyDescent="0.3">
      <c r="B89" s="51"/>
      <c r="C89" s="51"/>
      <c r="D89" s="92"/>
      <c r="E89" s="92"/>
      <c r="F89" s="92"/>
      <c r="G89" s="82"/>
    </row>
    <row r="90" spans="2:7" x14ac:dyDescent="0.3">
      <c r="B90" s="51"/>
      <c r="C90" s="51"/>
      <c r="D90" s="92"/>
      <c r="E90" s="92"/>
      <c r="F90" s="92"/>
      <c r="G90" s="82"/>
    </row>
    <row r="91" spans="2:7" x14ac:dyDescent="0.3">
      <c r="B91" s="51"/>
      <c r="C91" s="51"/>
      <c r="D91" s="92"/>
      <c r="E91" s="92"/>
      <c r="F91" s="92"/>
      <c r="G91" s="82"/>
    </row>
    <row r="92" spans="2:7" x14ac:dyDescent="0.3">
      <c r="B92" s="51"/>
      <c r="C92" s="51"/>
      <c r="D92" s="92"/>
      <c r="E92" s="92"/>
      <c r="F92" s="92"/>
      <c r="G92" s="82"/>
    </row>
    <row r="93" spans="2:7" x14ac:dyDescent="0.3">
      <c r="B93" s="51"/>
      <c r="C93" s="51"/>
      <c r="D93" s="92"/>
      <c r="E93" s="92"/>
      <c r="F93" s="92"/>
      <c r="G93" s="82"/>
    </row>
    <row r="94" spans="2:7" x14ac:dyDescent="0.3">
      <c r="B94" s="51"/>
      <c r="C94" s="51"/>
      <c r="D94" s="92"/>
      <c r="E94" s="92"/>
      <c r="F94" s="92"/>
      <c r="G94" s="82"/>
    </row>
    <row r="95" spans="2:7" x14ac:dyDescent="0.3">
      <c r="B95" s="51"/>
      <c r="C95" s="51"/>
      <c r="D95" s="92"/>
      <c r="E95" s="92"/>
      <c r="F95" s="92"/>
      <c r="G95" s="82"/>
    </row>
    <row r="96" spans="2:7" x14ac:dyDescent="0.3">
      <c r="B96" s="51"/>
      <c r="C96" s="51"/>
      <c r="D96" s="92"/>
      <c r="E96" s="92"/>
      <c r="F96" s="92"/>
      <c r="G96" s="82"/>
    </row>
    <row r="97" spans="2:7" x14ac:dyDescent="0.3">
      <c r="B97" s="51"/>
      <c r="C97" s="51"/>
      <c r="D97" s="92"/>
      <c r="E97" s="92"/>
      <c r="F97" s="92"/>
      <c r="G97" s="82"/>
    </row>
    <row r="98" spans="2:7" x14ac:dyDescent="0.3">
      <c r="B98" s="51"/>
      <c r="C98" s="51"/>
      <c r="D98" s="92"/>
      <c r="E98" s="92"/>
      <c r="F98" s="92"/>
      <c r="G98" s="82"/>
    </row>
    <row r="99" spans="2:7" x14ac:dyDescent="0.3">
      <c r="B99" s="51"/>
      <c r="C99" s="51"/>
      <c r="D99" s="92"/>
      <c r="E99" s="92"/>
      <c r="F99" s="92"/>
      <c r="G99" s="82"/>
    </row>
    <row r="100" spans="2:7" x14ac:dyDescent="0.3">
      <c r="B100" s="51"/>
      <c r="C100" s="51"/>
      <c r="D100" s="92"/>
      <c r="E100" s="92"/>
      <c r="F100" s="92"/>
      <c r="G100" s="82"/>
    </row>
    <row r="101" spans="2:7" x14ac:dyDescent="0.3">
      <c r="B101" s="51"/>
      <c r="C101" s="51"/>
      <c r="D101" s="92"/>
      <c r="E101" s="92"/>
      <c r="F101" s="92"/>
      <c r="G101" s="82"/>
    </row>
    <row r="102" spans="2:7" x14ac:dyDescent="0.3">
      <c r="B102" s="51"/>
      <c r="C102" s="51"/>
      <c r="D102" s="92"/>
      <c r="E102" s="92"/>
      <c r="F102" s="92"/>
      <c r="G102" s="82"/>
    </row>
    <row r="103" spans="2:7" x14ac:dyDescent="0.3">
      <c r="B103" s="51"/>
      <c r="C103" s="51"/>
      <c r="D103" s="92"/>
      <c r="E103" s="92"/>
      <c r="F103" s="92"/>
      <c r="G103" s="82"/>
    </row>
    <row r="104" spans="2:7" x14ac:dyDescent="0.3">
      <c r="B104" s="51"/>
      <c r="C104" s="51"/>
      <c r="D104" s="92"/>
      <c r="E104" s="92"/>
      <c r="F104" s="92"/>
      <c r="G104" s="82"/>
    </row>
    <row r="105" spans="2:7" x14ac:dyDescent="0.3">
      <c r="B105" s="51"/>
      <c r="C105" s="51"/>
      <c r="D105" s="92"/>
      <c r="E105" s="92"/>
      <c r="F105" s="92"/>
      <c r="G105" s="82"/>
    </row>
    <row r="106" spans="2:7" x14ac:dyDescent="0.3">
      <c r="B106" s="51"/>
      <c r="C106" s="51"/>
      <c r="D106" s="92"/>
      <c r="E106" s="92"/>
      <c r="F106" s="92"/>
      <c r="G106" s="82"/>
    </row>
    <row r="107" spans="2:7" x14ac:dyDescent="0.3">
      <c r="B107" s="51"/>
      <c r="C107" s="51"/>
      <c r="D107" s="92"/>
      <c r="E107" s="92"/>
      <c r="F107" s="92"/>
      <c r="G107" s="82"/>
    </row>
    <row r="108" spans="2:7" x14ac:dyDescent="0.3">
      <c r="B108" s="51"/>
      <c r="C108" s="51"/>
      <c r="D108" s="92"/>
      <c r="E108" s="92"/>
      <c r="F108" s="92"/>
      <c r="G108" s="82"/>
    </row>
    <row r="109" spans="2:7" x14ac:dyDescent="0.3">
      <c r="B109" s="51"/>
      <c r="C109" s="51"/>
      <c r="D109" s="92"/>
      <c r="E109" s="51"/>
      <c r="F109" s="92"/>
      <c r="G109" s="82"/>
    </row>
    <row r="110" spans="2:7" x14ac:dyDescent="0.3">
      <c r="B110" s="51"/>
      <c r="C110" s="51"/>
      <c r="D110" s="92"/>
      <c r="E110" s="92"/>
      <c r="F110" s="92"/>
      <c r="G110" s="82"/>
    </row>
    <row r="111" spans="2:7" x14ac:dyDescent="0.3">
      <c r="B111" s="51"/>
      <c r="C111" s="51"/>
      <c r="D111" s="92"/>
      <c r="E111" s="92"/>
      <c r="F111" s="92"/>
      <c r="G111" s="82"/>
    </row>
    <row r="112" spans="2:7" x14ac:dyDescent="0.3">
      <c r="B112" s="51"/>
      <c r="C112" s="51"/>
      <c r="D112" s="92"/>
      <c r="E112" s="92"/>
      <c r="F112" s="92"/>
      <c r="G112" s="82"/>
    </row>
    <row r="113" spans="2:7" x14ac:dyDescent="0.3">
      <c r="B113" s="51"/>
      <c r="C113" s="51"/>
      <c r="D113" s="92"/>
      <c r="E113" s="92"/>
      <c r="F113" s="92"/>
      <c r="G113" s="82"/>
    </row>
    <row r="114" spans="2:7" x14ac:dyDescent="0.3">
      <c r="B114" s="51"/>
      <c r="C114" s="51"/>
      <c r="D114" s="92"/>
      <c r="E114" s="92"/>
      <c r="F114" s="92"/>
      <c r="G114" s="82"/>
    </row>
    <row r="115" spans="2:7" x14ac:dyDescent="0.3">
      <c r="B115" s="51"/>
      <c r="C115" s="51"/>
      <c r="D115" s="92"/>
      <c r="E115" s="92"/>
      <c r="F115" s="92"/>
      <c r="G115" s="82"/>
    </row>
    <row r="116" spans="2:7" x14ac:dyDescent="0.3">
      <c r="B116" s="51"/>
      <c r="C116" s="51"/>
      <c r="D116" s="92"/>
      <c r="E116" s="92"/>
      <c r="F116" s="92"/>
      <c r="G116" s="82"/>
    </row>
    <row r="117" spans="2:7" x14ac:dyDescent="0.3">
      <c r="B117" s="51"/>
      <c r="C117" s="51"/>
      <c r="D117" s="92"/>
      <c r="E117" s="92"/>
      <c r="F117" s="92"/>
      <c r="G117" s="82"/>
    </row>
    <row r="118" spans="2:7" x14ac:dyDescent="0.3">
      <c r="B118" s="51"/>
      <c r="C118" s="51"/>
      <c r="D118" s="92"/>
      <c r="E118" s="51"/>
      <c r="F118" s="92"/>
      <c r="G118" s="82"/>
    </row>
    <row r="119" spans="2:7" x14ac:dyDescent="0.3">
      <c r="B119" s="51"/>
      <c r="C119" s="51"/>
      <c r="D119" s="92"/>
      <c r="E119" s="92"/>
      <c r="F119" s="92"/>
      <c r="G119" s="82"/>
    </row>
    <row r="120" spans="2:7" x14ac:dyDescent="0.3">
      <c r="B120" s="51"/>
      <c r="C120" s="51"/>
      <c r="D120" s="92"/>
      <c r="E120" s="92"/>
      <c r="F120" s="92"/>
      <c r="G120" s="82"/>
    </row>
    <row r="121" spans="2:7" x14ac:dyDescent="0.3">
      <c r="B121" s="51"/>
      <c r="C121" s="51"/>
      <c r="D121" s="92"/>
      <c r="E121" s="92"/>
      <c r="F121" s="92"/>
      <c r="G121" s="82"/>
    </row>
    <row r="122" spans="2:7" x14ac:dyDescent="0.3">
      <c r="B122" s="51"/>
      <c r="C122" s="51"/>
      <c r="D122" s="92"/>
      <c r="E122" s="92"/>
      <c r="F122" s="92"/>
      <c r="G122" s="82"/>
    </row>
    <row r="123" spans="2:7" x14ac:dyDescent="0.3">
      <c r="B123" s="51"/>
      <c r="C123" s="51"/>
      <c r="D123" s="92"/>
      <c r="E123" s="92"/>
      <c r="F123" s="92"/>
      <c r="G123" s="82"/>
    </row>
    <row r="124" spans="2:7" x14ac:dyDescent="0.3">
      <c r="B124" s="51"/>
      <c r="C124" s="51"/>
      <c r="D124" s="92"/>
      <c r="E124" s="92"/>
      <c r="F124" s="92"/>
      <c r="G124" s="82"/>
    </row>
    <row r="125" spans="2:7" x14ac:dyDescent="0.3">
      <c r="B125" s="51"/>
      <c r="C125" s="51"/>
      <c r="D125" s="92"/>
      <c r="E125" s="92"/>
      <c r="F125" s="92"/>
      <c r="G125" s="82"/>
    </row>
    <row r="126" spans="2:7" x14ac:dyDescent="0.3">
      <c r="B126" s="51"/>
      <c r="C126" s="51"/>
      <c r="D126" s="92"/>
      <c r="E126" s="92"/>
      <c r="F126" s="92"/>
      <c r="G126" s="82"/>
    </row>
    <row r="127" spans="2:7" x14ac:dyDescent="0.3">
      <c r="B127" s="51"/>
      <c r="C127" s="51"/>
      <c r="D127" s="92"/>
      <c r="E127" s="92"/>
      <c r="F127" s="92"/>
      <c r="G127" s="82"/>
    </row>
    <row r="128" spans="2:7" x14ac:dyDescent="0.3">
      <c r="B128" s="51"/>
      <c r="C128" s="51"/>
      <c r="D128" s="92"/>
      <c r="E128" s="92"/>
      <c r="F128" s="92"/>
      <c r="G128" s="82"/>
    </row>
    <row r="129" spans="2:7" x14ac:dyDescent="0.3">
      <c r="B129" s="51"/>
      <c r="C129" s="51"/>
      <c r="D129" s="92"/>
      <c r="E129" s="92"/>
      <c r="F129" s="92"/>
      <c r="G129" s="82"/>
    </row>
    <row r="130" spans="2:7" x14ac:dyDescent="0.3">
      <c r="B130" s="51"/>
      <c r="C130" s="51"/>
      <c r="D130" s="92"/>
      <c r="E130" s="92"/>
      <c r="F130" s="92"/>
      <c r="G130" s="82"/>
    </row>
    <row r="131" spans="2:7" x14ac:dyDescent="0.3">
      <c r="B131" s="51"/>
      <c r="C131" s="51"/>
      <c r="D131" s="92"/>
      <c r="E131" s="92"/>
      <c r="F131" s="92"/>
      <c r="G131" s="82"/>
    </row>
    <row r="132" spans="2:7" x14ac:dyDescent="0.3">
      <c r="B132" s="51"/>
      <c r="C132" s="51"/>
      <c r="D132" s="92"/>
      <c r="E132" s="92"/>
      <c r="F132" s="92"/>
      <c r="G132" s="82"/>
    </row>
    <row r="133" spans="2:7" ht="15" thickBot="1" x14ac:dyDescent="0.35">
      <c r="B133" s="106"/>
      <c r="C133" s="106"/>
      <c r="D133" s="106"/>
      <c r="E133" s="106"/>
      <c r="F133" s="106"/>
      <c r="G133" s="106"/>
    </row>
    <row r="134" spans="2:7" ht="15" thickTop="1" x14ac:dyDescent="0.3"/>
  </sheetData>
  <sheetProtection selectLockedCells="1" selectUnlockedCells="1"/>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&amp;L&amp;D&amp;Cالصفحة &amp;P من &amp;N&amp;Rسري - استخدام داخلي</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864-B429-4FF2-89FF-887E526021F1}">
  <sheetPr>
    <pageSetUpPr fitToPage="1"/>
  </sheetPr>
  <dimension ref="B8:F169"/>
  <sheetViews>
    <sheetView showGridLines="0" rightToLeft="1" workbookViewId="0">
      <selection activeCell="B3" sqref="B3"/>
    </sheetView>
  </sheetViews>
  <sheetFormatPr defaultColWidth="9.109375" defaultRowHeight="14.4" x14ac:dyDescent="0.3"/>
  <cols>
    <col min="1" max="1" width="2.88671875" style="14" customWidth="1"/>
    <col min="2" max="2" width="18.5546875" style="13" customWidth="1"/>
    <col min="3" max="3" width="22.33203125" style="13" customWidth="1"/>
    <col min="4" max="4" width="51.33203125" style="13" customWidth="1"/>
    <col min="5" max="16384" width="9.109375" style="14"/>
  </cols>
  <sheetData>
    <row r="8" spans="2:4" ht="21" x14ac:dyDescent="0.3">
      <c r="B8" s="85" t="s">
        <v>661</v>
      </c>
      <c r="C8" s="85"/>
      <c r="D8" s="51"/>
    </row>
    <row r="9" spans="2:4" x14ac:dyDescent="0.3">
      <c r="B9" s="51" t="s">
        <v>662</v>
      </c>
      <c r="C9" s="51"/>
      <c r="D9" s="51"/>
    </row>
    <row r="10" spans="2:4" x14ac:dyDescent="0.3">
      <c r="B10" s="51" t="s">
        <v>663</v>
      </c>
      <c r="C10" s="51"/>
      <c r="D10" s="51"/>
    </row>
    <row r="11" spans="2:4" x14ac:dyDescent="0.3">
      <c r="B11" s="51"/>
      <c r="C11" s="51"/>
      <c r="D11" s="51"/>
    </row>
    <row r="12" spans="2:4" ht="21" customHeight="1" x14ac:dyDescent="0.3">
      <c r="B12" s="86" t="s">
        <v>41</v>
      </c>
      <c r="C12" s="86" t="s">
        <v>664</v>
      </c>
      <c r="D12" s="87" t="s">
        <v>665</v>
      </c>
    </row>
    <row r="13" spans="2:4" ht="15.6" x14ac:dyDescent="0.3">
      <c r="B13" s="88" t="s">
        <v>70</v>
      </c>
      <c r="C13" s="89" t="s">
        <v>666</v>
      </c>
      <c r="D13" s="89" t="s">
        <v>667</v>
      </c>
    </row>
    <row r="14" spans="2:4" x14ac:dyDescent="0.3">
      <c r="B14" s="89"/>
      <c r="C14" s="89" t="s">
        <v>666</v>
      </c>
      <c r="D14" s="89" t="s">
        <v>668</v>
      </c>
    </row>
    <row r="15" spans="2:4" x14ac:dyDescent="0.3">
      <c r="B15" s="89"/>
      <c r="C15" s="89" t="s">
        <v>666</v>
      </c>
      <c r="D15" s="89" t="s">
        <v>669</v>
      </c>
    </row>
    <row r="16" spans="2:4" ht="15" thickBot="1" x14ac:dyDescent="0.35">
      <c r="B16" s="90"/>
      <c r="C16" s="90" t="s">
        <v>666</v>
      </c>
      <c r="D16" s="90" t="s">
        <v>670</v>
      </c>
    </row>
    <row r="17" spans="2:4" ht="16.2" thickTop="1" x14ac:dyDescent="0.3">
      <c r="B17" s="88" t="s">
        <v>147</v>
      </c>
      <c r="C17" s="89" t="s">
        <v>666</v>
      </c>
      <c r="D17" s="89" t="s">
        <v>671</v>
      </c>
    </row>
    <row r="18" spans="2:4" x14ac:dyDescent="0.3">
      <c r="B18" s="89" t="s">
        <v>672</v>
      </c>
      <c r="C18" s="89" t="s">
        <v>666</v>
      </c>
      <c r="D18" s="89" t="s">
        <v>673</v>
      </c>
    </row>
    <row r="19" spans="2:4" x14ac:dyDescent="0.3">
      <c r="B19" s="89"/>
      <c r="C19" s="89" t="s">
        <v>666</v>
      </c>
      <c r="D19" s="89" t="s">
        <v>674</v>
      </c>
    </row>
    <row r="20" spans="2:4" x14ac:dyDescent="0.3">
      <c r="B20" s="89"/>
      <c r="C20" s="89" t="s">
        <v>666</v>
      </c>
      <c r="D20" s="89" t="s">
        <v>675</v>
      </c>
    </row>
    <row r="21" spans="2:4" x14ac:dyDescent="0.3">
      <c r="B21" s="89"/>
      <c r="C21" s="89" t="s">
        <v>666</v>
      </c>
      <c r="D21" s="89" t="s">
        <v>676</v>
      </c>
    </row>
    <row r="22" spans="2:4" x14ac:dyDescent="0.3">
      <c r="B22" s="89" t="s">
        <v>309</v>
      </c>
      <c r="C22" s="89" t="s">
        <v>666</v>
      </c>
      <c r="D22" s="89" t="s">
        <v>677</v>
      </c>
    </row>
    <row r="23" spans="2:4" x14ac:dyDescent="0.3">
      <c r="B23" s="89"/>
      <c r="C23" s="89" t="s">
        <v>666</v>
      </c>
      <c r="D23" s="89" t="s">
        <v>678</v>
      </c>
    </row>
    <row r="24" spans="2:4" x14ac:dyDescent="0.3">
      <c r="B24" s="89" t="s">
        <v>132</v>
      </c>
      <c r="C24" s="89" t="s">
        <v>666</v>
      </c>
      <c r="D24" s="89" t="s">
        <v>679</v>
      </c>
    </row>
    <row r="25" spans="2:4" x14ac:dyDescent="0.3">
      <c r="B25" s="89"/>
      <c r="C25" s="89" t="s">
        <v>666</v>
      </c>
      <c r="D25" s="89" t="s">
        <v>680</v>
      </c>
    </row>
    <row r="26" spans="2:4" x14ac:dyDescent="0.3">
      <c r="B26" s="89"/>
      <c r="C26" s="89" t="s">
        <v>666</v>
      </c>
      <c r="D26" s="89" t="s">
        <v>681</v>
      </c>
    </row>
    <row r="27" spans="2:4" x14ac:dyDescent="0.3">
      <c r="B27" s="89"/>
      <c r="C27" s="89" t="s">
        <v>666</v>
      </c>
      <c r="D27" s="89" t="s">
        <v>682</v>
      </c>
    </row>
    <row r="28" spans="2:4" x14ac:dyDescent="0.3">
      <c r="B28" s="89"/>
      <c r="C28" s="89" t="s">
        <v>666</v>
      </c>
      <c r="D28" s="89" t="s">
        <v>683</v>
      </c>
    </row>
    <row r="29" spans="2:4" x14ac:dyDescent="0.3">
      <c r="B29" s="89"/>
      <c r="C29" s="89" t="s">
        <v>666</v>
      </c>
      <c r="D29" s="89" t="s">
        <v>684</v>
      </c>
    </row>
    <row r="30" spans="2:4" x14ac:dyDescent="0.3">
      <c r="B30" s="89"/>
      <c r="C30" s="89" t="s">
        <v>666</v>
      </c>
      <c r="D30" s="89" t="s">
        <v>685</v>
      </c>
    </row>
    <row r="31" spans="2:4" x14ac:dyDescent="0.3">
      <c r="B31" s="89" t="s">
        <v>103</v>
      </c>
      <c r="C31" s="89" t="s">
        <v>686</v>
      </c>
      <c r="D31" s="89" t="s">
        <v>687</v>
      </c>
    </row>
    <row r="32" spans="2:4" x14ac:dyDescent="0.3">
      <c r="B32" s="89"/>
      <c r="C32" s="89" t="s">
        <v>686</v>
      </c>
      <c r="D32" s="89" t="s">
        <v>688</v>
      </c>
    </row>
    <row r="33" spans="2:4" x14ac:dyDescent="0.3">
      <c r="B33" s="89"/>
      <c r="C33" s="89" t="s">
        <v>686</v>
      </c>
      <c r="D33" s="89" t="s">
        <v>689</v>
      </c>
    </row>
    <row r="34" spans="2:4" x14ac:dyDescent="0.3">
      <c r="B34" s="89"/>
      <c r="C34" s="89" t="s">
        <v>686</v>
      </c>
      <c r="D34" s="89" t="s">
        <v>690</v>
      </c>
    </row>
    <row r="35" spans="2:4" x14ac:dyDescent="0.3">
      <c r="B35" s="89"/>
      <c r="C35" s="89" t="s">
        <v>686</v>
      </c>
      <c r="D35" s="89" t="s">
        <v>691</v>
      </c>
    </row>
    <row r="36" spans="2:4" x14ac:dyDescent="0.3">
      <c r="B36" s="89" t="s">
        <v>295</v>
      </c>
      <c r="C36" s="89" t="s">
        <v>686</v>
      </c>
      <c r="D36" s="89" t="s">
        <v>692</v>
      </c>
    </row>
    <row r="37" spans="2:4" x14ac:dyDescent="0.3">
      <c r="B37" s="89"/>
      <c r="C37" s="89" t="s">
        <v>686</v>
      </c>
      <c r="D37" s="89" t="s">
        <v>693</v>
      </c>
    </row>
    <row r="38" spans="2:4" x14ac:dyDescent="0.3">
      <c r="B38" s="89"/>
      <c r="C38" s="89" t="s">
        <v>686</v>
      </c>
      <c r="D38" s="89" t="s">
        <v>694</v>
      </c>
    </row>
    <row r="39" spans="2:4" x14ac:dyDescent="0.3">
      <c r="B39" s="89"/>
      <c r="C39" s="89" t="s">
        <v>695</v>
      </c>
      <c r="D39" s="89" t="s">
        <v>696</v>
      </c>
    </row>
    <row r="40" spans="2:4" x14ac:dyDescent="0.3">
      <c r="B40" s="89" t="s">
        <v>191</v>
      </c>
      <c r="C40" s="89" t="s">
        <v>686</v>
      </c>
      <c r="D40" s="89" t="s">
        <v>697</v>
      </c>
    </row>
    <row r="41" spans="2:4" x14ac:dyDescent="0.3">
      <c r="B41" s="89"/>
      <c r="C41" s="89" t="s">
        <v>686</v>
      </c>
      <c r="D41" s="89" t="s">
        <v>698</v>
      </c>
    </row>
    <row r="42" spans="2:4" x14ac:dyDescent="0.3">
      <c r="B42" s="89"/>
      <c r="C42" s="89" t="s">
        <v>686</v>
      </c>
      <c r="D42" s="89" t="s">
        <v>699</v>
      </c>
    </row>
    <row r="43" spans="2:4" x14ac:dyDescent="0.3">
      <c r="B43" s="89"/>
      <c r="C43" s="89" t="s">
        <v>700</v>
      </c>
      <c r="D43" s="89" t="s">
        <v>701</v>
      </c>
    </row>
    <row r="44" spans="2:4" x14ac:dyDescent="0.3">
      <c r="B44" s="89"/>
      <c r="C44" s="89" t="s">
        <v>700</v>
      </c>
      <c r="D44" s="89" t="s">
        <v>702</v>
      </c>
    </row>
    <row r="45" spans="2:4" x14ac:dyDescent="0.3">
      <c r="B45" s="89"/>
      <c r="C45" s="89" t="s">
        <v>700</v>
      </c>
      <c r="D45" s="89" t="s">
        <v>703</v>
      </c>
    </row>
    <row r="46" spans="2:4" x14ac:dyDescent="0.3">
      <c r="B46" s="89"/>
      <c r="C46" s="89" t="s">
        <v>686</v>
      </c>
      <c r="D46" s="89" t="s">
        <v>704</v>
      </c>
    </row>
    <row r="47" spans="2:4" x14ac:dyDescent="0.3">
      <c r="B47" s="89"/>
      <c r="C47" s="89" t="s">
        <v>700</v>
      </c>
      <c r="D47" s="89" t="s">
        <v>705</v>
      </c>
    </row>
    <row r="48" spans="2:4" x14ac:dyDescent="0.3">
      <c r="B48" s="89"/>
      <c r="C48" s="89" t="s">
        <v>695</v>
      </c>
      <c r="D48" s="89" t="s">
        <v>706</v>
      </c>
    </row>
    <row r="49" spans="2:4" x14ac:dyDescent="0.3">
      <c r="B49" s="89" t="s">
        <v>162</v>
      </c>
      <c r="C49" s="89" t="s">
        <v>700</v>
      </c>
      <c r="D49" s="89" t="s">
        <v>707</v>
      </c>
    </row>
    <row r="50" spans="2:4" x14ac:dyDescent="0.3">
      <c r="B50" s="89"/>
      <c r="C50" s="89" t="s">
        <v>700</v>
      </c>
      <c r="D50" s="89" t="s">
        <v>708</v>
      </c>
    </row>
    <row r="51" spans="2:4" x14ac:dyDescent="0.3">
      <c r="B51" s="89"/>
      <c r="C51" s="89" t="s">
        <v>700</v>
      </c>
      <c r="D51" s="89" t="s">
        <v>709</v>
      </c>
    </row>
    <row r="52" spans="2:4" x14ac:dyDescent="0.3">
      <c r="B52" s="89"/>
      <c r="C52" s="89" t="s">
        <v>700</v>
      </c>
      <c r="D52" s="89" t="s">
        <v>710</v>
      </c>
    </row>
    <row r="53" spans="2:4" x14ac:dyDescent="0.3">
      <c r="B53" s="89"/>
      <c r="C53" s="89" t="s">
        <v>700</v>
      </c>
      <c r="D53" s="89" t="s">
        <v>711</v>
      </c>
    </row>
    <row r="54" spans="2:4" x14ac:dyDescent="0.3">
      <c r="B54" s="89"/>
      <c r="C54" s="89" t="s">
        <v>700</v>
      </c>
      <c r="D54" s="89" t="s">
        <v>712</v>
      </c>
    </row>
    <row r="55" spans="2:4" x14ac:dyDescent="0.3">
      <c r="B55" s="89" t="s">
        <v>229</v>
      </c>
      <c r="C55" s="89" t="s">
        <v>713</v>
      </c>
      <c r="D55" s="89" t="s">
        <v>714</v>
      </c>
    </row>
    <row r="56" spans="2:4" ht="15" thickBot="1" x14ac:dyDescent="0.35">
      <c r="B56" s="90"/>
      <c r="C56" s="90" t="s">
        <v>713</v>
      </c>
      <c r="D56" s="90" t="s">
        <v>715</v>
      </c>
    </row>
    <row r="57" spans="2:4" ht="16.2" thickTop="1" x14ac:dyDescent="0.3">
      <c r="B57" s="88" t="s">
        <v>243</v>
      </c>
      <c r="C57" s="89" t="s">
        <v>695</v>
      </c>
      <c r="D57" s="89" t="s">
        <v>716</v>
      </c>
    </row>
    <row r="58" spans="2:4" x14ac:dyDescent="0.3">
      <c r="B58" s="89"/>
      <c r="C58" s="89" t="s">
        <v>695</v>
      </c>
      <c r="D58" s="89" t="s">
        <v>717</v>
      </c>
    </row>
    <row r="59" spans="2:4" x14ac:dyDescent="0.3">
      <c r="B59" s="89"/>
      <c r="C59" s="89" t="s">
        <v>695</v>
      </c>
      <c r="D59" s="89" t="s">
        <v>718</v>
      </c>
    </row>
    <row r="60" spans="2:4" x14ac:dyDescent="0.3">
      <c r="B60" s="89" t="s">
        <v>462</v>
      </c>
      <c r="C60" s="89" t="s">
        <v>719</v>
      </c>
      <c r="D60" s="89" t="s">
        <v>720</v>
      </c>
    </row>
    <row r="61" spans="2:4" x14ac:dyDescent="0.3">
      <c r="B61" s="89"/>
      <c r="C61" s="89"/>
      <c r="D61" s="89"/>
    </row>
    <row r="62" spans="2:4" x14ac:dyDescent="0.3">
      <c r="B62" s="89"/>
      <c r="C62" s="89"/>
      <c r="D62" s="89"/>
    </row>
    <row r="63" spans="2:4" x14ac:dyDescent="0.3">
      <c r="B63" s="89"/>
      <c r="C63" s="89"/>
      <c r="D63" s="89"/>
    </row>
    <row r="64" spans="2:4" x14ac:dyDescent="0.3">
      <c r="B64" s="89"/>
      <c r="C64" s="89"/>
      <c r="D64" s="89"/>
    </row>
    <row r="65" spans="2:4" x14ac:dyDescent="0.3">
      <c r="B65" s="89"/>
      <c r="C65" s="89"/>
      <c r="D65" s="89"/>
    </row>
    <row r="66" spans="2:4" x14ac:dyDescent="0.3">
      <c r="B66" s="89"/>
      <c r="C66" s="89"/>
      <c r="D66" s="89"/>
    </row>
    <row r="67" spans="2:4" ht="15" thickBot="1" x14ac:dyDescent="0.35">
      <c r="B67" s="90"/>
      <c r="C67" s="90"/>
      <c r="D67" s="90"/>
    </row>
    <row r="68" spans="2:4" ht="16.2" thickTop="1" x14ac:dyDescent="0.3">
      <c r="B68" s="88"/>
      <c r="C68" s="89"/>
      <c r="D68" s="89"/>
    </row>
    <row r="69" spans="2:4" x14ac:dyDescent="0.3">
      <c r="B69" s="89"/>
      <c r="C69" s="89"/>
      <c r="D69" s="89"/>
    </row>
    <row r="70" spans="2:4" x14ac:dyDescent="0.3">
      <c r="B70" s="89"/>
      <c r="C70" s="89"/>
      <c r="D70" s="89"/>
    </row>
    <row r="71" spans="2:4" x14ac:dyDescent="0.3">
      <c r="B71" s="89"/>
      <c r="C71" s="89"/>
      <c r="D71" s="89"/>
    </row>
    <row r="72" spans="2:4" x14ac:dyDescent="0.3">
      <c r="B72" s="89"/>
      <c r="C72" s="89"/>
      <c r="D72" s="89"/>
    </row>
    <row r="73" spans="2:4" ht="15" thickBot="1" x14ac:dyDescent="0.35">
      <c r="B73" s="90"/>
      <c r="C73" s="90"/>
      <c r="D73" s="90"/>
    </row>
    <row r="74" spans="2:4" ht="16.2" thickTop="1" x14ac:dyDescent="0.3">
      <c r="B74" s="88"/>
      <c r="C74" s="89"/>
      <c r="D74" s="89"/>
    </row>
    <row r="75" spans="2:4" x14ac:dyDescent="0.3">
      <c r="B75" s="89"/>
      <c r="C75" s="89"/>
      <c r="D75" s="89"/>
    </row>
    <row r="76" spans="2:4" x14ac:dyDescent="0.3">
      <c r="B76" s="89"/>
      <c r="C76" s="89"/>
      <c r="D76" s="89"/>
    </row>
    <row r="77" spans="2:4" ht="15" thickBot="1" x14ac:dyDescent="0.35">
      <c r="B77" s="90"/>
      <c r="C77" s="90"/>
      <c r="D77" s="90"/>
    </row>
    <row r="78" spans="2:4" ht="16.2" thickTop="1" x14ac:dyDescent="0.3">
      <c r="B78" s="88"/>
      <c r="C78" s="89"/>
      <c r="D78" s="89"/>
    </row>
    <row r="79" spans="2:4" x14ac:dyDescent="0.3">
      <c r="B79" s="89"/>
      <c r="C79" s="89"/>
      <c r="D79" s="89"/>
    </row>
    <row r="80" spans="2:4" x14ac:dyDescent="0.3">
      <c r="B80" s="89"/>
      <c r="C80" s="89"/>
      <c r="D80" s="89"/>
    </row>
    <row r="81" spans="2:4" x14ac:dyDescent="0.3">
      <c r="B81" s="89"/>
      <c r="C81" s="89"/>
      <c r="D81" s="89"/>
    </row>
    <row r="82" spans="2:4" x14ac:dyDescent="0.3">
      <c r="B82" s="89"/>
      <c r="C82" s="89"/>
      <c r="D82" s="89"/>
    </row>
    <row r="83" spans="2:4" x14ac:dyDescent="0.3">
      <c r="B83" s="89"/>
      <c r="C83" s="89"/>
      <c r="D83" s="89"/>
    </row>
    <row r="84" spans="2:4" x14ac:dyDescent="0.3">
      <c r="B84" s="89"/>
      <c r="C84" s="89"/>
      <c r="D84" s="89"/>
    </row>
    <row r="85" spans="2:4" x14ac:dyDescent="0.3">
      <c r="B85" s="89"/>
      <c r="C85" s="89"/>
      <c r="D85" s="89"/>
    </row>
    <row r="86" spans="2:4" x14ac:dyDescent="0.3">
      <c r="B86" s="89"/>
      <c r="C86" s="89"/>
      <c r="D86" s="89"/>
    </row>
    <row r="87" spans="2:4" ht="15" thickBot="1" x14ac:dyDescent="0.35">
      <c r="B87" s="90"/>
      <c r="C87" s="90"/>
      <c r="D87" s="90"/>
    </row>
    <row r="88" spans="2:4" ht="16.2" thickTop="1" x14ac:dyDescent="0.3">
      <c r="B88" s="88"/>
      <c r="C88" s="89"/>
      <c r="D88" s="89"/>
    </row>
    <row r="89" spans="2:4" x14ac:dyDescent="0.3">
      <c r="B89" s="89"/>
      <c r="C89" s="89"/>
      <c r="D89" s="89"/>
    </row>
    <row r="90" spans="2:4" x14ac:dyDescent="0.3">
      <c r="B90" s="89"/>
      <c r="C90" s="89"/>
      <c r="D90" s="89"/>
    </row>
    <row r="91" spans="2:4" x14ac:dyDescent="0.3">
      <c r="B91" s="89"/>
      <c r="C91" s="89"/>
      <c r="D91" s="89"/>
    </row>
    <row r="92" spans="2:4" ht="15" thickBot="1" x14ac:dyDescent="0.35">
      <c r="B92" s="90"/>
      <c r="C92" s="90"/>
      <c r="D92" s="90"/>
    </row>
    <row r="93" spans="2:4" ht="16.2" thickTop="1" x14ac:dyDescent="0.3">
      <c r="B93" s="88"/>
      <c r="C93" s="89"/>
      <c r="D93" s="89"/>
    </row>
    <row r="94" spans="2:4" x14ac:dyDescent="0.3">
      <c r="B94" s="89"/>
      <c r="C94" s="89"/>
      <c r="D94" s="89"/>
    </row>
    <row r="95" spans="2:4" x14ac:dyDescent="0.3">
      <c r="B95" s="89"/>
      <c r="C95" s="89"/>
      <c r="D95" s="89"/>
    </row>
    <row r="96" spans="2:4" x14ac:dyDescent="0.3">
      <c r="B96" s="89"/>
      <c r="C96" s="89"/>
      <c r="D96" s="89"/>
    </row>
    <row r="97" spans="2:4" ht="15" thickBot="1" x14ac:dyDescent="0.35">
      <c r="B97" s="90"/>
      <c r="C97" s="90"/>
      <c r="D97" s="90"/>
    </row>
    <row r="98" spans="2:4" ht="16.2" thickTop="1" x14ac:dyDescent="0.3">
      <c r="B98" s="88"/>
      <c r="C98" s="89"/>
      <c r="D98" s="89"/>
    </row>
    <row r="99" spans="2:4" ht="15" thickBot="1" x14ac:dyDescent="0.35">
      <c r="B99" s="91"/>
      <c r="C99" s="91"/>
      <c r="D99" s="91"/>
    </row>
    <row r="100" spans="2:4" ht="15" thickTop="1" x14ac:dyDescent="0.3">
      <c r="D100" s="92"/>
    </row>
    <row r="101" spans="2:4" x14ac:dyDescent="0.3">
      <c r="B101" s="51"/>
      <c r="D101" s="92"/>
    </row>
    <row r="102" spans="2:4" x14ac:dyDescent="0.3">
      <c r="B102" s="51"/>
      <c r="D102" s="92"/>
    </row>
    <row r="103" spans="2:4" x14ac:dyDescent="0.3">
      <c r="B103" s="51"/>
      <c r="D103" s="92"/>
    </row>
    <row r="104" spans="2:4" x14ac:dyDescent="0.3">
      <c r="B104" s="51"/>
      <c r="D104" s="92"/>
    </row>
    <row r="105" spans="2:4" x14ac:dyDescent="0.3">
      <c r="B105" s="51"/>
    </row>
    <row r="106" spans="2:4" x14ac:dyDescent="0.3">
      <c r="B106" s="51"/>
    </row>
    <row r="107" spans="2:4" x14ac:dyDescent="0.3">
      <c r="B107" s="51"/>
    </row>
    <row r="108" spans="2:4" x14ac:dyDescent="0.3">
      <c r="B108" s="51"/>
    </row>
    <row r="109" spans="2:4" x14ac:dyDescent="0.3">
      <c r="B109" s="51"/>
    </row>
    <row r="110" spans="2:4" x14ac:dyDescent="0.3">
      <c r="B110" s="51"/>
      <c r="D110" s="92"/>
    </row>
    <row r="111" spans="2:4" x14ac:dyDescent="0.3">
      <c r="B111" s="51"/>
      <c r="D111" s="92"/>
    </row>
    <row r="112" spans="2:4" x14ac:dyDescent="0.3">
      <c r="B112" s="51"/>
      <c r="D112" s="92"/>
    </row>
    <row r="113" spans="2:4" x14ac:dyDescent="0.3">
      <c r="B113" s="51"/>
      <c r="D113" s="92"/>
    </row>
    <row r="114" spans="2:4" x14ac:dyDescent="0.3">
      <c r="B114" s="51"/>
      <c r="D114" s="92"/>
    </row>
    <row r="115" spans="2:4" x14ac:dyDescent="0.3">
      <c r="B115" s="51"/>
      <c r="D115" s="92"/>
    </row>
    <row r="116" spans="2:4" x14ac:dyDescent="0.3">
      <c r="B116" s="51"/>
      <c r="D116" s="92"/>
    </row>
    <row r="117" spans="2:4" x14ac:dyDescent="0.3">
      <c r="B117" s="51"/>
      <c r="D117" s="92"/>
    </row>
    <row r="118" spans="2:4" x14ac:dyDescent="0.3">
      <c r="B118" s="51"/>
      <c r="D118" s="92"/>
    </row>
    <row r="119" spans="2:4" x14ac:dyDescent="0.3">
      <c r="B119" s="51"/>
      <c r="D119" s="92"/>
    </row>
    <row r="120" spans="2:4" x14ac:dyDescent="0.3">
      <c r="B120" s="51"/>
      <c r="D120" s="92"/>
    </row>
    <row r="121" spans="2:4" x14ac:dyDescent="0.3">
      <c r="B121" s="51"/>
      <c r="D121" s="92"/>
    </row>
    <row r="122" spans="2:4" x14ac:dyDescent="0.3">
      <c r="B122" s="51"/>
      <c r="D122" s="92"/>
    </row>
    <row r="123" spans="2:4" x14ac:dyDescent="0.3">
      <c r="B123" s="51"/>
      <c r="D123" s="92"/>
    </row>
    <row r="124" spans="2:4" x14ac:dyDescent="0.3">
      <c r="B124" s="51"/>
      <c r="D124" s="92"/>
    </row>
    <row r="125" spans="2:4" x14ac:dyDescent="0.3">
      <c r="B125" s="51"/>
      <c r="D125" s="92"/>
    </row>
    <row r="126" spans="2:4" x14ac:dyDescent="0.3">
      <c r="B126" s="51"/>
      <c r="D126" s="92"/>
    </row>
    <row r="127" spans="2:4" x14ac:dyDescent="0.3">
      <c r="B127" s="51"/>
      <c r="D127" s="92"/>
    </row>
    <row r="128" spans="2:4" x14ac:dyDescent="0.3">
      <c r="B128" s="51"/>
      <c r="D128" s="92"/>
    </row>
    <row r="129" spans="2:4" x14ac:dyDescent="0.3">
      <c r="B129" s="51"/>
      <c r="D129" s="92"/>
    </row>
    <row r="130" spans="2:4" x14ac:dyDescent="0.3">
      <c r="B130" s="51"/>
      <c r="D130" s="92"/>
    </row>
    <row r="131" spans="2:4" x14ac:dyDescent="0.3">
      <c r="B131" s="51"/>
      <c r="D131" s="92"/>
    </row>
    <row r="132" spans="2:4" x14ac:dyDescent="0.3">
      <c r="B132" s="51"/>
      <c r="D132" s="92"/>
    </row>
    <row r="133" spans="2:4" x14ac:dyDescent="0.3">
      <c r="B133" s="51"/>
      <c r="D133" s="92"/>
    </row>
    <row r="134" spans="2:4" x14ac:dyDescent="0.3">
      <c r="B134" s="51"/>
      <c r="D134" s="92"/>
    </row>
    <row r="135" spans="2:4" x14ac:dyDescent="0.3">
      <c r="B135" s="51"/>
      <c r="D135" s="92"/>
    </row>
    <row r="136" spans="2:4" x14ac:dyDescent="0.3">
      <c r="B136" s="51"/>
      <c r="D136" s="92"/>
    </row>
    <row r="137" spans="2:4" x14ac:dyDescent="0.3">
      <c r="B137" s="51"/>
      <c r="D137" s="92"/>
    </row>
    <row r="138" spans="2:4" x14ac:dyDescent="0.3">
      <c r="B138" s="51"/>
      <c r="D138" s="92"/>
    </row>
    <row r="139" spans="2:4" x14ac:dyDescent="0.3">
      <c r="B139" s="51"/>
      <c r="D139" s="92"/>
    </row>
    <row r="140" spans="2:4" x14ac:dyDescent="0.3">
      <c r="B140" s="51"/>
      <c r="D140" s="92"/>
    </row>
    <row r="141" spans="2:4" x14ac:dyDescent="0.3">
      <c r="B141" s="51"/>
      <c r="D141" s="92"/>
    </row>
    <row r="142" spans="2:4" x14ac:dyDescent="0.3">
      <c r="B142" s="51"/>
      <c r="D142" s="92"/>
    </row>
    <row r="143" spans="2:4" x14ac:dyDescent="0.3">
      <c r="B143" s="51"/>
      <c r="D143" s="92"/>
    </row>
    <row r="144" spans="2:4" x14ac:dyDescent="0.3">
      <c r="B144" s="51"/>
      <c r="D144" s="92"/>
    </row>
    <row r="145" spans="2:6" x14ac:dyDescent="0.3">
      <c r="B145" s="51"/>
      <c r="D145" s="92"/>
    </row>
    <row r="146" spans="2:6" x14ac:dyDescent="0.3">
      <c r="B146" s="51"/>
      <c r="D146" s="92"/>
    </row>
    <row r="147" spans="2:6" x14ac:dyDescent="0.3">
      <c r="B147" s="51"/>
      <c r="D147" s="92"/>
    </row>
    <row r="148" spans="2:6" x14ac:dyDescent="0.3">
      <c r="B148" s="51"/>
      <c r="D148" s="92"/>
    </row>
    <row r="149" spans="2:6" x14ac:dyDescent="0.3">
      <c r="B149" s="51"/>
      <c r="D149" s="92"/>
    </row>
    <row r="150" spans="2:6" x14ac:dyDescent="0.3">
      <c r="B150" s="51"/>
      <c r="D150" s="92"/>
    </row>
    <row r="151" spans="2:6" x14ac:dyDescent="0.3">
      <c r="B151" s="51"/>
      <c r="D151" s="92"/>
    </row>
    <row r="152" spans="2:6" x14ac:dyDescent="0.3">
      <c r="B152" s="51"/>
      <c r="D152" s="92"/>
    </row>
    <row r="153" spans="2:6" x14ac:dyDescent="0.3">
      <c r="B153" s="51"/>
      <c r="D153" s="92"/>
    </row>
    <row r="154" spans="2:6" x14ac:dyDescent="0.3">
      <c r="B154" s="51"/>
      <c r="D154" s="92"/>
    </row>
    <row r="155" spans="2:6" x14ac:dyDescent="0.3">
      <c r="B155" s="51"/>
      <c r="D155" s="92"/>
    </row>
    <row r="156" spans="2:6" x14ac:dyDescent="0.3">
      <c r="B156" s="51"/>
      <c r="C156" s="51"/>
      <c r="D156" s="51"/>
      <c r="E156" s="51"/>
      <c r="F156" s="51"/>
    </row>
    <row r="157" spans="2:6" x14ac:dyDescent="0.3">
      <c r="B157" s="51"/>
      <c r="C157" s="51"/>
      <c r="D157" s="51"/>
      <c r="E157" s="51"/>
      <c r="F157" s="51"/>
    </row>
    <row r="158" spans="2:6" x14ac:dyDescent="0.3">
      <c r="B158" s="51"/>
      <c r="C158" s="51"/>
      <c r="D158" s="51"/>
      <c r="E158" s="51"/>
      <c r="F158" s="51"/>
    </row>
    <row r="159" spans="2:6" x14ac:dyDescent="0.3">
      <c r="B159" s="51"/>
      <c r="C159" s="51"/>
      <c r="D159" s="51"/>
      <c r="E159" s="51"/>
      <c r="F159" s="51"/>
    </row>
    <row r="160" spans="2:6" x14ac:dyDescent="0.3">
      <c r="B160" s="51"/>
      <c r="C160" s="51"/>
      <c r="D160" s="51"/>
      <c r="E160" s="51"/>
      <c r="F160" s="51"/>
    </row>
    <row r="161" spans="2:6" x14ac:dyDescent="0.3">
      <c r="B161" s="51"/>
      <c r="C161" s="51"/>
      <c r="D161" s="51"/>
      <c r="E161" s="51"/>
      <c r="F161" s="51"/>
    </row>
    <row r="162" spans="2:6" x14ac:dyDescent="0.3">
      <c r="B162" s="51"/>
      <c r="C162" s="51"/>
      <c r="D162" s="51"/>
      <c r="E162" s="51"/>
      <c r="F162" s="51"/>
    </row>
    <row r="163" spans="2:6" x14ac:dyDescent="0.3">
      <c r="B163" s="51"/>
      <c r="C163" s="51"/>
      <c r="D163" s="51"/>
      <c r="E163" s="51"/>
      <c r="F163" s="51"/>
    </row>
    <row r="164" spans="2:6" x14ac:dyDescent="0.3">
      <c r="B164" s="51"/>
      <c r="C164" s="51"/>
      <c r="D164" s="51"/>
      <c r="E164" s="51"/>
      <c r="F164" s="51"/>
    </row>
    <row r="165" spans="2:6" x14ac:dyDescent="0.3">
      <c r="B165" s="51"/>
      <c r="C165" s="51"/>
      <c r="D165" s="51"/>
      <c r="E165" s="51"/>
      <c r="F165" s="51"/>
    </row>
    <row r="166" spans="2:6" x14ac:dyDescent="0.3">
      <c r="B166" s="51"/>
      <c r="C166" s="51"/>
      <c r="D166" s="51"/>
      <c r="E166" s="51"/>
      <c r="F166" s="51"/>
    </row>
    <row r="167" spans="2:6" x14ac:dyDescent="0.3">
      <c r="B167" s="51"/>
      <c r="C167" s="51"/>
      <c r="D167" s="51"/>
      <c r="E167" s="51"/>
      <c r="F167" s="51"/>
    </row>
    <row r="168" spans="2:6" x14ac:dyDescent="0.3">
      <c r="B168" s="51"/>
      <c r="C168" s="51"/>
      <c r="D168" s="51"/>
      <c r="E168" s="51"/>
      <c r="F168" s="51"/>
    </row>
    <row r="169" spans="2:6" x14ac:dyDescent="0.3">
      <c r="B169" s="51"/>
      <c r="C169" s="51"/>
      <c r="D169" s="51"/>
      <c r="E169" s="51"/>
      <c r="F169" s="51"/>
    </row>
  </sheetData>
  <sheetProtection selectLockedCells="1" selectUnlockedCells="1"/>
  <pageMargins left="0.70866141732283472" right="0.70866141732283472" top="0.74803149606299213" bottom="0.74803149606299213" header="0.31496062992125984" footer="0.31496062992125984"/>
  <pageSetup paperSize="9" scale="92" fitToHeight="0" orientation="portrait" horizontalDpi="1200" verticalDpi="1200" r:id="rId1"/>
  <headerFooter>
    <oddFooter>&amp;L&amp;D&amp;Cالصفحة &amp;P من &amp;N&amp;Rسري - استخدام داخلي</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DD40-BD69-4F41-9F9B-41C7F2F5B09C}">
  <sheetPr>
    <pageSetUpPr fitToPage="1"/>
  </sheetPr>
  <dimension ref="B8:D44"/>
  <sheetViews>
    <sheetView showGridLines="0" rightToLeft="1" workbookViewId="0">
      <selection activeCell="B2" sqref="B2"/>
    </sheetView>
  </sheetViews>
  <sheetFormatPr defaultColWidth="9.109375" defaultRowHeight="14.4" x14ac:dyDescent="0.3"/>
  <cols>
    <col min="1" max="1" width="2.88671875" style="4" customWidth="1"/>
    <col min="2" max="2" width="19.6640625" style="4" customWidth="1"/>
    <col min="3" max="3" width="45.88671875" style="4" customWidth="1"/>
    <col min="4" max="4" width="56.109375" style="4" customWidth="1"/>
    <col min="5" max="16384" width="9.109375" style="4"/>
  </cols>
  <sheetData>
    <row r="8" spans="2:4" ht="21" x14ac:dyDescent="0.3">
      <c r="B8" s="93" t="s">
        <v>721</v>
      </c>
      <c r="C8" s="93"/>
      <c r="D8" s="94"/>
    </row>
    <row r="9" spans="2:4" x14ac:dyDescent="0.3">
      <c r="B9" s="94" t="s">
        <v>722</v>
      </c>
      <c r="C9" s="94"/>
      <c r="D9" s="94"/>
    </row>
    <row r="10" spans="2:4" x14ac:dyDescent="0.3">
      <c r="B10" s="94"/>
      <c r="C10" s="94"/>
      <c r="D10" s="94"/>
    </row>
    <row r="11" spans="2:4" ht="21" customHeight="1" x14ac:dyDescent="0.3">
      <c r="B11" s="95" t="s">
        <v>723</v>
      </c>
      <c r="C11" s="95" t="s">
        <v>657</v>
      </c>
      <c r="D11" s="96" t="s">
        <v>724</v>
      </c>
    </row>
    <row r="12" spans="2:4" ht="28.8" x14ac:dyDescent="0.3">
      <c r="B12" s="97" t="s">
        <v>725</v>
      </c>
      <c r="C12" s="94" t="s">
        <v>726</v>
      </c>
      <c r="D12" s="98" t="s">
        <v>727</v>
      </c>
    </row>
    <row r="13" spans="2:4" ht="28.8" x14ac:dyDescent="0.3">
      <c r="B13" s="99"/>
      <c r="C13" s="94" t="s">
        <v>726</v>
      </c>
      <c r="D13" s="98" t="s">
        <v>728</v>
      </c>
    </row>
    <row r="14" spans="2:4" ht="28.8" x14ac:dyDescent="0.3">
      <c r="B14" s="99"/>
      <c r="C14" s="94" t="s">
        <v>729</v>
      </c>
      <c r="D14" s="98" t="s">
        <v>730</v>
      </c>
    </row>
    <row r="15" spans="2:4" x14ac:dyDescent="0.3">
      <c r="B15" s="99"/>
      <c r="C15" s="94" t="s">
        <v>729</v>
      </c>
      <c r="D15" s="98" t="s">
        <v>731</v>
      </c>
    </row>
    <row r="16" spans="2:4" ht="28.8" x14ac:dyDescent="0.3">
      <c r="B16" s="99"/>
      <c r="C16" s="94" t="s">
        <v>732</v>
      </c>
      <c r="D16" s="98" t="s">
        <v>733</v>
      </c>
    </row>
    <row r="17" spans="2:4" ht="15" thickBot="1" x14ac:dyDescent="0.35">
      <c r="B17" s="90"/>
      <c r="C17" s="90" t="s">
        <v>732</v>
      </c>
      <c r="D17" s="90" t="s">
        <v>734</v>
      </c>
    </row>
    <row r="18" spans="2:4" ht="29.4" thickTop="1" x14ac:dyDescent="0.3">
      <c r="B18" s="97"/>
      <c r="C18" s="94" t="s">
        <v>735</v>
      </c>
      <c r="D18" s="98" t="s">
        <v>736</v>
      </c>
    </row>
    <row r="19" spans="2:4" ht="28.8" x14ac:dyDescent="0.3">
      <c r="B19" s="99"/>
      <c r="C19" s="94" t="s">
        <v>737</v>
      </c>
      <c r="D19" s="98" t="s">
        <v>738</v>
      </c>
    </row>
    <row r="20" spans="2:4" x14ac:dyDescent="0.3">
      <c r="B20" s="99"/>
      <c r="C20" s="94" t="s">
        <v>739</v>
      </c>
      <c r="D20" s="98" t="s">
        <v>740</v>
      </c>
    </row>
    <row r="21" spans="2:4" x14ac:dyDescent="0.3">
      <c r="B21" s="99" t="s">
        <v>741</v>
      </c>
      <c r="C21" s="94" t="s">
        <v>742</v>
      </c>
      <c r="D21" s="98" t="s">
        <v>743</v>
      </c>
    </row>
    <row r="22" spans="2:4" ht="28.8" x14ac:dyDescent="0.3">
      <c r="B22" s="99"/>
      <c r="C22" s="94" t="s">
        <v>744</v>
      </c>
      <c r="D22" s="98" t="s">
        <v>745</v>
      </c>
    </row>
    <row r="23" spans="2:4" ht="15" thickBot="1" x14ac:dyDescent="0.35">
      <c r="B23" s="90"/>
      <c r="C23" s="90" t="s">
        <v>746</v>
      </c>
      <c r="D23" s="90" t="s">
        <v>747</v>
      </c>
    </row>
    <row r="24" spans="2:4" ht="16.2" thickTop="1" x14ac:dyDescent="0.3">
      <c r="B24" s="97"/>
      <c r="C24" s="94" t="s">
        <v>748</v>
      </c>
      <c r="D24" s="98" t="s">
        <v>749</v>
      </c>
    </row>
    <row r="25" spans="2:4" ht="28.8" x14ac:dyDescent="0.3">
      <c r="B25" s="99" t="s">
        <v>750</v>
      </c>
      <c r="C25" s="94" t="s">
        <v>751</v>
      </c>
      <c r="D25" s="98" t="s">
        <v>752</v>
      </c>
    </row>
    <row r="26" spans="2:4" x14ac:dyDescent="0.3">
      <c r="B26" s="99"/>
      <c r="C26" s="94" t="s">
        <v>753</v>
      </c>
      <c r="D26" s="98" t="s">
        <v>754</v>
      </c>
    </row>
    <row r="27" spans="2:4" ht="15" thickBot="1" x14ac:dyDescent="0.35">
      <c r="B27" s="90"/>
      <c r="C27" s="90" t="s">
        <v>755</v>
      </c>
      <c r="D27" s="90" t="s">
        <v>756</v>
      </c>
    </row>
    <row r="28" spans="2:4" ht="29.4" thickTop="1" x14ac:dyDescent="0.3">
      <c r="B28" s="97"/>
      <c r="C28" s="94" t="s">
        <v>757</v>
      </c>
      <c r="D28" s="98" t="s">
        <v>758</v>
      </c>
    </row>
    <row r="29" spans="2:4" ht="28.8" x14ac:dyDescent="0.3">
      <c r="B29" s="99"/>
      <c r="C29" s="94" t="s">
        <v>759</v>
      </c>
      <c r="D29" s="98" t="s">
        <v>760</v>
      </c>
    </row>
    <row r="30" spans="2:4" x14ac:dyDescent="0.3">
      <c r="B30" s="99"/>
      <c r="C30" s="94" t="s">
        <v>761</v>
      </c>
      <c r="D30" s="98" t="s">
        <v>762</v>
      </c>
    </row>
    <row r="31" spans="2:4" ht="15" thickBot="1" x14ac:dyDescent="0.35">
      <c r="B31" s="90" t="s">
        <v>763</v>
      </c>
      <c r="C31" s="90" t="s">
        <v>764</v>
      </c>
      <c r="D31" s="90" t="s">
        <v>765</v>
      </c>
    </row>
    <row r="32" spans="2:4" ht="29.4" thickTop="1" x14ac:dyDescent="0.3">
      <c r="B32" s="97"/>
      <c r="C32" s="94" t="s">
        <v>766</v>
      </c>
      <c r="D32" s="98" t="s">
        <v>767</v>
      </c>
    </row>
    <row r="33" spans="2:4" x14ac:dyDescent="0.3">
      <c r="B33" s="99"/>
      <c r="C33" s="94" t="s">
        <v>768</v>
      </c>
      <c r="D33" s="98" t="s">
        <v>769</v>
      </c>
    </row>
    <row r="34" spans="2:4" ht="28.8" x14ac:dyDescent="0.3">
      <c r="B34" s="99" t="s">
        <v>770</v>
      </c>
      <c r="C34" s="94" t="s">
        <v>771</v>
      </c>
      <c r="D34" s="98" t="s">
        <v>772</v>
      </c>
    </row>
    <row r="35" spans="2:4" ht="15" thickBot="1" x14ac:dyDescent="0.35">
      <c r="B35" s="90"/>
      <c r="C35" s="90" t="s">
        <v>773</v>
      </c>
      <c r="D35" s="90" t="s">
        <v>774</v>
      </c>
    </row>
    <row r="36" spans="2:4" ht="29.4" thickTop="1" x14ac:dyDescent="0.3">
      <c r="B36" s="97" t="s">
        <v>775</v>
      </c>
      <c r="C36" s="94" t="s">
        <v>776</v>
      </c>
      <c r="D36" s="98" t="s">
        <v>777</v>
      </c>
    </row>
    <row r="37" spans="2:4" ht="28.8" x14ac:dyDescent="0.3">
      <c r="B37" s="99"/>
      <c r="C37" s="94" t="s">
        <v>778</v>
      </c>
      <c r="D37" s="98" t="s">
        <v>779</v>
      </c>
    </row>
    <row r="38" spans="2:4" ht="15" thickBot="1" x14ac:dyDescent="0.35">
      <c r="B38" s="100"/>
      <c r="C38" s="100" t="s">
        <v>780</v>
      </c>
      <c r="D38" s="101" t="s">
        <v>781</v>
      </c>
    </row>
    <row r="39" spans="2:4" ht="15" thickTop="1" x14ac:dyDescent="0.3">
      <c r="B39" s="102"/>
      <c r="C39" s="102" t="s">
        <v>782</v>
      </c>
      <c r="D39" s="82" t="s">
        <v>783</v>
      </c>
    </row>
    <row r="40" spans="2:4" ht="28.8" x14ac:dyDescent="0.3">
      <c r="B40" s="102"/>
      <c r="C40" s="102" t="s">
        <v>784</v>
      </c>
      <c r="D40" s="82" t="s">
        <v>785</v>
      </c>
    </row>
    <row r="41" spans="2:4" x14ac:dyDescent="0.3">
      <c r="B41" s="102"/>
      <c r="C41" s="102"/>
      <c r="D41" s="82"/>
    </row>
    <row r="42" spans="2:4" x14ac:dyDescent="0.3">
      <c r="B42" s="102"/>
      <c r="C42" s="102"/>
      <c r="D42" s="82"/>
    </row>
    <row r="43" spans="2:4" x14ac:dyDescent="0.3">
      <c r="B43" s="102"/>
      <c r="C43" s="102"/>
      <c r="D43" s="82"/>
    </row>
    <row r="44" spans="2:4" x14ac:dyDescent="0.3">
      <c r="B44" s="102"/>
      <c r="C44" s="102"/>
      <c r="D44" s="82"/>
    </row>
  </sheetData>
  <sheetProtection selectLockedCells="1" selectUnlockedCells="1"/>
  <pageMargins left="0.70866141732283472" right="0.70866141732283472" top="0.74803149606299213" bottom="0.74803149606299213" header="0.31496062992125984" footer="0.31496062992125984"/>
  <pageSetup paperSize="9" scale="70" fitToHeight="0" orientation="portrait" horizontalDpi="1200" verticalDpi="1200" r:id="rId1"/>
  <headerFooter>
    <oddFooter>&amp;L&amp;D&amp;Cالصفحة &amp;P من &amp;N&amp;Rسري - استخدام داخلي</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8:D27"/>
  <sheetViews>
    <sheetView showGridLines="0" rightToLeft="1" zoomScaleNormal="100" workbookViewId="0">
      <selection activeCell="F8" sqref="F8"/>
    </sheetView>
  </sheetViews>
  <sheetFormatPr defaultColWidth="9.109375" defaultRowHeight="14.4" x14ac:dyDescent="0.3"/>
  <cols>
    <col min="1" max="1" width="2.88671875" style="4" customWidth="1"/>
    <col min="2" max="2" width="11.6640625" style="4" customWidth="1"/>
    <col min="3" max="3" width="16.33203125" style="4" customWidth="1"/>
    <col min="4" max="4" width="58.33203125" style="4" customWidth="1"/>
    <col min="5" max="16384" width="9.109375" style="4"/>
  </cols>
  <sheetData>
    <row r="8" spans="2:4" ht="21" x14ac:dyDescent="0.3">
      <c r="B8" s="93" t="s">
        <v>786</v>
      </c>
      <c r="C8" s="93"/>
      <c r="D8" s="94"/>
    </row>
    <row r="9" spans="2:4" x14ac:dyDescent="0.3">
      <c r="B9" s="94" t="s">
        <v>787</v>
      </c>
      <c r="C9" s="94"/>
      <c r="D9" s="94"/>
    </row>
    <row r="10" spans="2:4" x14ac:dyDescent="0.3">
      <c r="B10" s="94"/>
      <c r="C10" s="94"/>
      <c r="D10" s="94"/>
    </row>
    <row r="11" spans="2:4" ht="21" customHeight="1" x14ac:dyDescent="0.3">
      <c r="B11" s="95" t="s">
        <v>788</v>
      </c>
      <c r="C11" s="95" t="s">
        <v>789</v>
      </c>
      <c r="D11" s="96" t="s">
        <v>790</v>
      </c>
    </row>
    <row r="12" spans="2:4" x14ac:dyDescent="0.3">
      <c r="B12" s="98">
        <v>1</v>
      </c>
      <c r="C12" s="98" t="s">
        <v>791</v>
      </c>
      <c r="D12" s="98" t="s">
        <v>792</v>
      </c>
    </row>
    <row r="13" spans="2:4" ht="28.8" x14ac:dyDescent="0.3">
      <c r="B13" s="98">
        <v>2</v>
      </c>
      <c r="C13" s="98" t="s">
        <v>793</v>
      </c>
      <c r="D13" s="98" t="s">
        <v>794</v>
      </c>
    </row>
    <row r="14" spans="2:4" x14ac:dyDescent="0.3">
      <c r="B14" s="98">
        <v>3</v>
      </c>
      <c r="C14" s="98" t="s">
        <v>795</v>
      </c>
      <c r="D14" s="98" t="s">
        <v>796</v>
      </c>
    </row>
    <row r="15" spans="2:4" ht="28.8" x14ac:dyDescent="0.3">
      <c r="B15" s="98">
        <v>4</v>
      </c>
      <c r="C15" s="98" t="s">
        <v>797</v>
      </c>
      <c r="D15" s="98" t="s">
        <v>798</v>
      </c>
    </row>
    <row r="16" spans="2:4" ht="28.8" x14ac:dyDescent="0.3">
      <c r="B16" s="98">
        <v>5</v>
      </c>
      <c r="C16" s="98" t="s">
        <v>799</v>
      </c>
      <c r="D16" s="98" t="s">
        <v>800</v>
      </c>
    </row>
    <row r="17" spans="2:4" ht="15" thickBot="1" x14ac:dyDescent="0.35">
      <c r="B17" s="103"/>
      <c r="C17" s="103"/>
      <c r="D17" s="103"/>
    </row>
    <row r="18" spans="2:4" ht="15" thickTop="1" x14ac:dyDescent="0.3">
      <c r="B18" s="89"/>
      <c r="C18" s="89"/>
      <c r="D18" s="89"/>
    </row>
    <row r="19" spans="2:4" x14ac:dyDescent="0.3">
      <c r="B19" s="89"/>
      <c r="C19" s="89"/>
      <c r="D19" s="89"/>
    </row>
    <row r="20" spans="2:4" x14ac:dyDescent="0.3">
      <c r="B20" s="89"/>
      <c r="C20" s="89"/>
      <c r="D20" s="89"/>
    </row>
    <row r="21" spans="2:4" x14ac:dyDescent="0.3">
      <c r="B21" s="89"/>
      <c r="C21" s="89"/>
      <c r="D21" s="89"/>
    </row>
    <row r="22" spans="2:4" x14ac:dyDescent="0.3">
      <c r="B22" s="89"/>
      <c r="C22" s="89"/>
      <c r="D22" s="89"/>
    </row>
    <row r="23" spans="2:4" x14ac:dyDescent="0.3">
      <c r="B23" s="89"/>
      <c r="C23" s="89"/>
      <c r="D23" s="89"/>
    </row>
    <row r="24" spans="2:4" x14ac:dyDescent="0.3">
      <c r="B24" s="102"/>
      <c r="C24" s="102"/>
      <c r="D24" s="82"/>
    </row>
    <row r="25" spans="2:4" x14ac:dyDescent="0.3">
      <c r="B25" s="102"/>
      <c r="C25" s="102"/>
      <c r="D25" s="82"/>
    </row>
    <row r="26" spans="2:4" x14ac:dyDescent="0.3">
      <c r="B26" s="102"/>
      <c r="C26" s="102"/>
      <c r="D26" s="82"/>
    </row>
    <row r="27" spans="2:4" x14ac:dyDescent="0.3">
      <c r="B27" s="102"/>
      <c r="C27" s="102"/>
      <c r="D27" s="8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&amp;L&amp;D&amp;Cالصفحة &amp;P من &amp;N&amp;Rسري - استخدام داخلي</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rightToLeft="1" workbookViewId="0">
      <selection activeCell="F14" sqref="F14"/>
    </sheetView>
  </sheetViews>
  <sheetFormatPr defaultColWidth="9.109375" defaultRowHeight="14.4" x14ac:dyDescent="0.3"/>
  <cols>
    <col min="1" max="1" width="2.88671875" style="3" customWidth="1"/>
    <col min="2" max="2" width="7.44140625" style="3" customWidth="1"/>
    <col min="3" max="3" width="11.33203125" style="3" customWidth="1"/>
    <col min="4" max="7" width="21.44140625" style="3" customWidth="1"/>
    <col min="8" max="8" width="25.44140625" style="3" customWidth="1"/>
    <col min="9" max="16384" width="9.109375" style="3"/>
  </cols>
  <sheetData>
    <row r="2" spans="2:15" x14ac:dyDescent="0.3">
      <c r="B2" s="4"/>
      <c r="C2" s="4"/>
    </row>
    <row r="3" spans="2:15" x14ac:dyDescent="0.3">
      <c r="B3" s="4"/>
      <c r="C3" s="4"/>
    </row>
    <row r="4" spans="2:15" x14ac:dyDescent="0.3">
      <c r="B4" s="4"/>
      <c r="C4" s="4"/>
    </row>
    <row r="5" spans="2:15" x14ac:dyDescent="0.3">
      <c r="B5" s="4"/>
      <c r="C5" s="4"/>
    </row>
    <row r="6" spans="2:15" x14ac:dyDescent="0.3">
      <c r="B6" s="4"/>
      <c r="C6" s="4"/>
    </row>
    <row r="7" spans="2:15" x14ac:dyDescent="0.3">
      <c r="B7" s="4"/>
      <c r="C7" s="4"/>
    </row>
    <row r="8" spans="2:15" ht="21" x14ac:dyDescent="0.3">
      <c r="B8" s="10" t="s">
        <v>801</v>
      </c>
      <c r="C8" s="10"/>
      <c r="D8" s="11"/>
      <c r="E8" s="11"/>
      <c r="F8" s="11"/>
      <c r="G8" s="11"/>
      <c r="H8" s="11"/>
    </row>
    <row r="9" spans="2:15" x14ac:dyDescent="0.3">
      <c r="B9" s="11" t="s">
        <v>802</v>
      </c>
      <c r="C9" s="11"/>
      <c r="D9" s="11"/>
      <c r="E9" s="11"/>
      <c r="F9" s="11"/>
      <c r="G9" s="11"/>
      <c r="H9" s="11"/>
    </row>
    <row r="10" spans="2:15" x14ac:dyDescent="0.3">
      <c r="B10" s="11"/>
      <c r="C10" s="11"/>
      <c r="D10" s="11"/>
      <c r="E10" s="11"/>
      <c r="F10" s="11"/>
      <c r="G10" s="11"/>
      <c r="H10" s="11"/>
    </row>
    <row r="11" spans="2:15" ht="21" customHeight="1" x14ac:dyDescent="0.3">
      <c r="B11" s="21" t="s">
        <v>803</v>
      </c>
      <c r="C11" s="22"/>
      <c r="D11" s="21" t="s">
        <v>804</v>
      </c>
      <c r="E11" s="21"/>
      <c r="F11" s="21"/>
      <c r="G11" s="21"/>
      <c r="H11" s="21"/>
    </row>
    <row r="12" spans="2:15" ht="33" customHeight="1" x14ac:dyDescent="0.3">
      <c r="B12" s="62" t="s">
        <v>805</v>
      </c>
      <c r="C12" s="62" t="s">
        <v>806</v>
      </c>
      <c r="D12" s="62" t="s">
        <v>807</v>
      </c>
      <c r="E12" s="62" t="s">
        <v>808</v>
      </c>
      <c r="F12" s="62" t="s">
        <v>809</v>
      </c>
      <c r="G12" s="62" t="s">
        <v>810</v>
      </c>
      <c r="H12" s="62" t="s">
        <v>811</v>
      </c>
    </row>
    <row r="13" spans="2:15" x14ac:dyDescent="0.3">
      <c r="B13" s="12">
        <v>1</v>
      </c>
      <c r="C13" s="7" t="s">
        <v>812</v>
      </c>
      <c r="D13" s="7" t="s">
        <v>813</v>
      </c>
      <c r="E13" s="2" t="s">
        <v>814</v>
      </c>
      <c r="F13" s="2" t="s">
        <v>815</v>
      </c>
      <c r="G13" s="7" t="s">
        <v>816</v>
      </c>
      <c r="H13" s="2" t="s">
        <v>817</v>
      </c>
      <c r="I13" s="2"/>
      <c r="J13" s="2"/>
      <c r="K13" s="2"/>
      <c r="L13" s="2"/>
      <c r="M13" s="2"/>
      <c r="N13" s="2"/>
      <c r="O13" s="2"/>
    </row>
    <row r="14" spans="2:15" ht="28.8" x14ac:dyDescent="0.3">
      <c r="B14" s="12">
        <v>2</v>
      </c>
      <c r="C14" s="7" t="s">
        <v>540</v>
      </c>
      <c r="D14" s="7" t="s">
        <v>818</v>
      </c>
      <c r="E14" s="2" t="s">
        <v>819</v>
      </c>
      <c r="F14" s="2" t="s">
        <v>820</v>
      </c>
      <c r="G14" s="7" t="s">
        <v>821</v>
      </c>
      <c r="H14" s="2" t="s">
        <v>822</v>
      </c>
      <c r="I14" s="2"/>
      <c r="J14" s="2"/>
      <c r="K14" s="2"/>
      <c r="L14" s="2"/>
      <c r="M14" s="2"/>
      <c r="N14" s="2"/>
      <c r="O14" s="2"/>
    </row>
    <row r="15" spans="2:15" ht="28.8" x14ac:dyDescent="0.3">
      <c r="B15" s="12">
        <v>3</v>
      </c>
      <c r="C15" s="7" t="s">
        <v>541</v>
      </c>
      <c r="D15" s="7" t="s">
        <v>823</v>
      </c>
      <c r="E15" s="82" t="s">
        <v>824</v>
      </c>
      <c r="F15" s="2" t="s">
        <v>825</v>
      </c>
      <c r="G15" s="7" t="s">
        <v>826</v>
      </c>
      <c r="H15" s="2" t="s">
        <v>827</v>
      </c>
      <c r="I15" s="2"/>
      <c r="J15" s="2"/>
      <c r="K15" s="2"/>
      <c r="L15" s="2"/>
      <c r="M15" s="2"/>
      <c r="N15" s="2"/>
      <c r="O15" s="2"/>
    </row>
    <row r="16" spans="2:15" ht="43.2" x14ac:dyDescent="0.3">
      <c r="B16" s="12">
        <v>4</v>
      </c>
      <c r="C16" s="7" t="s">
        <v>828</v>
      </c>
      <c r="D16" s="7" t="s">
        <v>829</v>
      </c>
      <c r="E16" s="82" t="s">
        <v>830</v>
      </c>
      <c r="F16" s="2" t="s">
        <v>831</v>
      </c>
      <c r="G16" s="7" t="s">
        <v>832</v>
      </c>
      <c r="H16" s="2" t="s">
        <v>833</v>
      </c>
      <c r="I16" s="2"/>
      <c r="J16" s="2"/>
      <c r="K16" s="2"/>
      <c r="L16" s="2"/>
      <c r="M16" s="2"/>
      <c r="N16" s="2"/>
      <c r="O16" s="2"/>
    </row>
    <row r="17" spans="2:15" ht="43.2" x14ac:dyDescent="0.3">
      <c r="B17" s="12">
        <v>5</v>
      </c>
      <c r="C17" s="7" t="s">
        <v>543</v>
      </c>
      <c r="D17" s="7" t="s">
        <v>834</v>
      </c>
      <c r="E17" s="2" t="s">
        <v>835</v>
      </c>
      <c r="F17" s="2" t="s">
        <v>836</v>
      </c>
      <c r="G17" s="7" t="s">
        <v>837</v>
      </c>
      <c r="H17" s="2" t="s">
        <v>838</v>
      </c>
      <c r="I17" s="2"/>
      <c r="J17" s="2"/>
      <c r="K17" s="2"/>
      <c r="L17" s="2"/>
      <c r="M17" s="2"/>
      <c r="N17" s="2"/>
      <c r="O17" s="2"/>
    </row>
    <row r="18" spans="2:15" ht="15" thickBot="1" x14ac:dyDescent="0.35">
      <c r="B18" s="23"/>
      <c r="C18" s="23"/>
      <c r="D18" s="23"/>
      <c r="E18" s="23"/>
      <c r="F18" s="23"/>
      <c r="G18" s="23"/>
      <c r="H18" s="23"/>
    </row>
    <row r="19" spans="2:15" ht="15" thickTop="1" x14ac:dyDescent="0.3">
      <c r="B19"/>
      <c r="C19"/>
      <c r="D19"/>
      <c r="E19"/>
      <c r="F19"/>
      <c r="G19"/>
      <c r="H19"/>
    </row>
    <row r="20" spans="2:15" x14ac:dyDescent="0.3">
      <c r="B20"/>
      <c r="C20"/>
      <c r="D20"/>
      <c r="E20"/>
      <c r="F20"/>
      <c r="G20"/>
      <c r="H20"/>
    </row>
    <row r="21" spans="2:15" x14ac:dyDescent="0.3">
      <c r="B21"/>
      <c r="C21"/>
      <c r="D21"/>
      <c r="E21"/>
      <c r="F21"/>
      <c r="G21"/>
      <c r="H21"/>
    </row>
    <row r="22" spans="2:15" x14ac:dyDescent="0.3">
      <c r="B22"/>
      <c r="C22"/>
      <c r="D22"/>
      <c r="E22"/>
      <c r="F22"/>
      <c r="G22"/>
      <c r="H22"/>
    </row>
    <row r="23" spans="2:15" x14ac:dyDescent="0.3">
      <c r="B23"/>
      <c r="C23"/>
      <c r="D23"/>
      <c r="E23"/>
      <c r="F23"/>
      <c r="G23"/>
      <c r="H23"/>
    </row>
    <row r="24" spans="2:15" x14ac:dyDescent="0.3">
      <c r="B24"/>
      <c r="C24"/>
      <c r="D24"/>
      <c r="E24"/>
      <c r="F24"/>
      <c r="G24"/>
      <c r="H24"/>
    </row>
    <row r="25" spans="2:15" x14ac:dyDescent="0.3">
      <c r="B25" s="6"/>
      <c r="C25" s="6"/>
      <c r="D25" s="2"/>
      <c r="E25"/>
      <c r="F25"/>
      <c r="G25"/>
      <c r="H25"/>
    </row>
    <row r="26" spans="2:15" x14ac:dyDescent="0.3">
      <c r="B26" s="6"/>
      <c r="C26" s="6"/>
      <c r="D26" s="2"/>
      <c r="E26"/>
      <c r="F26"/>
      <c r="G26"/>
      <c r="H26"/>
    </row>
    <row r="27" spans="2:15" x14ac:dyDescent="0.3">
      <c r="B27" s="6"/>
      <c r="C27" s="6"/>
      <c r="D27" s="2"/>
      <c r="E27"/>
      <c r="F27"/>
      <c r="G27"/>
      <c r="H27"/>
    </row>
    <row r="28" spans="2:15" x14ac:dyDescent="0.3">
      <c r="B28" s="6"/>
      <c r="C28" s="6"/>
      <c r="D28" s="2"/>
      <c r="E28"/>
      <c r="F28"/>
      <c r="G28"/>
      <c r="H28"/>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&amp;L&amp;D&amp;Cالصفحة &amp;P من &amp;N&amp;Rسري - استخدام داخلي</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J26"/>
  <sheetViews>
    <sheetView showGridLines="0" zoomScaleNormal="100" workbookViewId="0"/>
  </sheetViews>
  <sheetFormatPr defaultRowHeight="14.4" x14ac:dyDescent="0.3"/>
  <cols>
    <col min="1" max="1" width="2.88671875" customWidth="1"/>
    <col min="2" max="3" width="15" customWidth="1"/>
    <col min="4" max="4" width="9.109375" customWidth="1"/>
    <col min="5" max="5" width="38.109375" customWidth="1"/>
    <col min="7" max="7" width="16.44140625" customWidth="1"/>
    <col min="8" max="8" width="16.33203125" customWidth="1"/>
    <col min="9" max="9" width="18.44140625" customWidth="1"/>
    <col min="10" max="10" width="11.88671875" customWidth="1"/>
    <col min="11" max="11" width="17.33203125" customWidth="1"/>
  </cols>
  <sheetData>
    <row r="4" spans="2:10" ht="21" x14ac:dyDescent="0.4">
      <c r="B4" s="19" t="s">
        <v>839</v>
      </c>
      <c r="C4" s="19"/>
    </row>
    <row r="6" spans="2:10" ht="15.6" x14ac:dyDescent="0.3">
      <c r="B6" s="60" t="s">
        <v>840</v>
      </c>
      <c r="C6" s="61"/>
      <c r="E6" s="24" t="s">
        <v>841</v>
      </c>
      <c r="J6" s="8"/>
    </row>
    <row r="7" spans="2:10" x14ac:dyDescent="0.3">
      <c r="B7" s="5">
        <v>1</v>
      </c>
      <c r="C7" s="5"/>
      <c r="D7" s="1"/>
      <c r="E7" t="s">
        <v>481</v>
      </c>
    </row>
    <row r="8" spans="2:10" x14ac:dyDescent="0.3">
      <c r="B8" s="5">
        <v>2</v>
      </c>
      <c r="C8" s="5"/>
      <c r="D8" s="1"/>
      <c r="E8" t="s">
        <v>276</v>
      </c>
    </row>
    <row r="9" spans="2:10" x14ac:dyDescent="0.3">
      <c r="B9" s="5">
        <v>3</v>
      </c>
      <c r="C9" s="5"/>
      <c r="D9" s="1"/>
      <c r="E9" t="s">
        <v>79</v>
      </c>
    </row>
    <row r="10" spans="2:10" x14ac:dyDescent="0.3">
      <c r="B10" s="5">
        <v>4</v>
      </c>
      <c r="C10" s="5"/>
      <c r="D10" s="1"/>
      <c r="E10" t="s">
        <v>419</v>
      </c>
    </row>
    <row r="11" spans="2:10" x14ac:dyDescent="0.3">
      <c r="B11" s="5">
        <v>5</v>
      </c>
      <c r="C11" s="5"/>
      <c r="D11" s="1"/>
    </row>
    <row r="12" spans="2:10" x14ac:dyDescent="0.3">
      <c r="B12" s="5"/>
      <c r="C12" s="5"/>
      <c r="D12" s="1"/>
    </row>
    <row r="13" spans="2:10" x14ac:dyDescent="0.3">
      <c r="B13" s="1"/>
      <c r="C13" s="1"/>
      <c r="D13" s="1"/>
    </row>
    <row r="14" spans="2:10" x14ac:dyDescent="0.3">
      <c r="B14" s="1"/>
      <c r="C14" s="1"/>
      <c r="D14" s="1"/>
    </row>
    <row r="15" spans="2:10" x14ac:dyDescent="0.3">
      <c r="B15" s="24" t="s">
        <v>659</v>
      </c>
      <c r="C15" s="25"/>
      <c r="D15" s="1"/>
      <c r="E15" s="24" t="s">
        <v>842</v>
      </c>
    </row>
    <row r="16" spans="2:10" x14ac:dyDescent="0.3">
      <c r="B16" s="1" t="s">
        <v>151</v>
      </c>
      <c r="C16" s="1"/>
      <c r="D16" s="1"/>
      <c r="E16" t="s">
        <v>359</v>
      </c>
    </row>
    <row r="17" spans="2:5" x14ac:dyDescent="0.3">
      <c r="B17" s="1" t="s">
        <v>313</v>
      </c>
      <c r="C17" s="1"/>
      <c r="D17" s="1"/>
      <c r="E17" t="s">
        <v>83</v>
      </c>
    </row>
    <row r="18" spans="2:5" x14ac:dyDescent="0.3">
      <c r="B18" s="1" t="s">
        <v>179</v>
      </c>
      <c r="C18" s="1"/>
      <c r="D18" s="1"/>
      <c r="E18" t="s">
        <v>186</v>
      </c>
    </row>
    <row r="19" spans="2:5" x14ac:dyDescent="0.3">
      <c r="B19" s="1" t="s">
        <v>91</v>
      </c>
      <c r="C19" s="1"/>
      <c r="D19" s="1"/>
      <c r="E19" t="s">
        <v>843</v>
      </c>
    </row>
    <row r="20" spans="2:5" x14ac:dyDescent="0.3">
      <c r="B20" s="1" t="s">
        <v>260</v>
      </c>
      <c r="C20" s="1"/>
      <c r="D20" s="1"/>
    </row>
    <row r="21" spans="2:5" x14ac:dyDescent="0.3">
      <c r="B21" s="1" t="s">
        <v>195</v>
      </c>
      <c r="C21" s="1"/>
      <c r="D21" s="1"/>
    </row>
    <row r="22" spans="2:5" x14ac:dyDescent="0.3">
      <c r="B22" s="1" t="s">
        <v>74</v>
      </c>
      <c r="C22" s="1"/>
    </row>
    <row r="23" spans="2:5" x14ac:dyDescent="0.3">
      <c r="B23" s="1"/>
      <c r="C23" s="1"/>
    </row>
    <row r="24" spans="2:5" x14ac:dyDescent="0.3">
      <c r="B24" s="1"/>
      <c r="C24" s="1"/>
    </row>
    <row r="25" spans="2:5" x14ac:dyDescent="0.3">
      <c r="B25" s="1"/>
      <c r="C25" s="1"/>
    </row>
    <row r="26" spans="2:5" x14ac:dyDescent="0.3">
      <c r="B26" s="1"/>
      <c r="C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T25"/>
  <sheetViews>
    <sheetView showGridLines="0" workbookViewId="0"/>
  </sheetViews>
  <sheetFormatPr defaultRowHeight="14.4" x14ac:dyDescent="0.3"/>
  <cols>
    <col min="1" max="1" width="2.88671875" customWidth="1"/>
    <col min="2" max="2" width="18" bestFit="1" customWidth="1"/>
    <col min="3" max="3" width="16.33203125" bestFit="1" customWidth="1"/>
    <col min="4" max="4" width="11.33203125" bestFit="1" customWidth="1"/>
    <col min="5" max="5" width="5.6640625" bestFit="1" customWidth="1"/>
    <col min="6" max="7" width="11.33203125" bestFit="1" customWidth="1"/>
    <col min="8" max="8" width="11" bestFit="1" customWidth="1"/>
    <col min="9" max="9" width="16.5546875" customWidth="1"/>
    <col min="10" max="10" width="18.5546875" customWidth="1"/>
    <col min="11" max="11" width="22.88671875" customWidth="1"/>
    <col min="12" max="12" width="12.33203125" bestFit="1" customWidth="1"/>
    <col min="13" max="13" width="10.33203125" bestFit="1" customWidth="1"/>
    <col min="14" max="14" width="12.88671875" bestFit="1" customWidth="1"/>
    <col min="15" max="15" width="26.6640625" customWidth="1"/>
    <col min="16" max="16" width="10.88671875" bestFit="1" customWidth="1"/>
    <col min="17" max="17" width="11.33203125" bestFit="1" customWidth="1"/>
    <col min="18" max="18" width="27.6640625" bestFit="1" customWidth="1"/>
    <col min="19" max="19" width="21.5546875" bestFit="1" customWidth="1"/>
    <col min="20" max="20" width="11.33203125" bestFit="1" customWidth="1"/>
    <col min="21" max="21" width="15.33203125" bestFit="1" customWidth="1"/>
    <col min="22" max="22" width="12.88671875" bestFit="1" customWidth="1"/>
    <col min="23" max="23" width="7.88671875" bestFit="1" customWidth="1"/>
    <col min="24" max="24" width="10.5546875" bestFit="1" customWidth="1"/>
    <col min="25" max="25" width="10.88671875" bestFit="1" customWidth="1"/>
    <col min="26" max="27" width="12.109375" bestFit="1" customWidth="1"/>
    <col min="28" max="28" width="11.33203125" bestFit="1" customWidth="1"/>
  </cols>
  <sheetData>
    <row r="4" spans="2:20" ht="21" x14ac:dyDescent="0.4">
      <c r="B4" s="19" t="s">
        <v>844</v>
      </c>
    </row>
    <row r="6" spans="2:20" ht="15.6" x14ac:dyDescent="0.3">
      <c r="B6" s="17" t="s">
        <v>845</v>
      </c>
      <c r="I6" s="18" t="s">
        <v>846</v>
      </c>
      <c r="J6" s="16"/>
      <c r="K6" s="16"/>
      <c r="O6" s="18" t="s">
        <v>847</v>
      </c>
      <c r="R6" s="17" t="s">
        <v>848</v>
      </c>
      <c r="S6" s="9"/>
      <c r="T6" s="9"/>
    </row>
    <row r="8" spans="2:20" x14ac:dyDescent="0.3">
      <c r="B8" s="79"/>
      <c r="C8" s="80"/>
      <c r="D8" s="81"/>
      <c r="I8" s="79"/>
      <c r="J8" s="80"/>
      <c r="K8" s="81"/>
      <c r="O8" s="65" t="e" vm="1">
        <v>#VALUE!</v>
      </c>
      <c r="R8" t="s">
        <v>539</v>
      </c>
      <c r="S8" t="s">
        <v>510</v>
      </c>
      <c r="T8" t="s">
        <v>511</v>
      </c>
    </row>
    <row r="9" spans="2:20" x14ac:dyDescent="0.3">
      <c r="B9" s="74"/>
      <c r="C9" s="64"/>
      <c r="D9" s="75"/>
      <c r="I9" s="69"/>
      <c r="J9" s="63"/>
      <c r="K9" s="70"/>
      <c r="R9" t="s">
        <v>540</v>
      </c>
      <c r="S9">
        <f>COUNTIF(RiskAssessment[[ مستوى الخطر]],Table1[[#This Row],[مستوى الخطر]])</f>
        <v>2</v>
      </c>
      <c r="T9">
        <f>COUNTIF(RiskAssessment[[ مستوى الخطر بعد المعالجة]],Table1[[#This Row],[مستوى الخطر]])</f>
        <v>17</v>
      </c>
    </row>
    <row r="10" spans="2:20" x14ac:dyDescent="0.3">
      <c r="B10" s="74"/>
      <c r="C10" s="64"/>
      <c r="D10" s="75"/>
      <c r="I10" s="69"/>
      <c r="J10" s="63"/>
      <c r="K10" s="70"/>
      <c r="R10" t="s">
        <v>541</v>
      </c>
      <c r="S10">
        <f>COUNTIF(RiskAssessment[[ مستوى الخطر]],Table1[[#This Row],[مستوى الخطر]])</f>
        <v>15</v>
      </c>
      <c r="T10">
        <f>COUNTIF(RiskAssessment[[ مستوى الخطر بعد المعالجة]],Table1[[#This Row],[مستوى الخطر]])</f>
        <v>13</v>
      </c>
    </row>
    <row r="11" spans="2:20" x14ac:dyDescent="0.3">
      <c r="B11" s="74"/>
      <c r="C11" s="64"/>
      <c r="D11" s="75"/>
      <c r="I11" s="69"/>
      <c r="J11" s="63"/>
      <c r="K11" s="70"/>
      <c r="O11" t="s">
        <v>419</v>
      </c>
      <c r="R11" t="s">
        <v>542</v>
      </c>
      <c r="S11">
        <f>COUNTIF(RiskAssessment[[ مستوى الخطر]],Table1[[#This Row],[مستوى الخطر]])</f>
        <v>9</v>
      </c>
      <c r="T11">
        <f>COUNTIF(RiskAssessment[[ مستوى الخطر بعد المعالجة]],Table1[[#This Row],[مستوى الخطر]])</f>
        <v>2</v>
      </c>
    </row>
    <row r="12" spans="2:20" x14ac:dyDescent="0.3">
      <c r="B12" s="74"/>
      <c r="C12" s="64"/>
      <c r="D12" s="75"/>
      <c r="I12" s="69"/>
      <c r="J12" s="63"/>
      <c r="K12" s="70"/>
      <c r="O12" t="s">
        <v>481</v>
      </c>
      <c r="R12" t="s">
        <v>543</v>
      </c>
      <c r="S12">
        <f>COUNTIF(RiskAssessment[[ مستوى الخطر]],Table1[[#This Row],[مستوى الخطر]])</f>
        <v>6</v>
      </c>
      <c r="T12">
        <f>COUNTIF(RiskAssessment[[ مستوى الخطر بعد المعالجة]],Table1[[#This Row],[مستوى الخطر]])</f>
        <v>0</v>
      </c>
    </row>
    <row r="13" spans="2:20" x14ac:dyDescent="0.3">
      <c r="B13" s="74"/>
      <c r="C13" s="64"/>
      <c r="D13" s="75"/>
      <c r="I13" s="69"/>
      <c r="J13" s="63"/>
      <c r="K13" s="70"/>
      <c r="O13" t="s">
        <v>544</v>
      </c>
      <c r="R13" s="17" t="s">
        <v>849</v>
      </c>
    </row>
    <row r="14" spans="2:20" x14ac:dyDescent="0.3">
      <c r="B14" s="74"/>
      <c r="C14" s="64"/>
      <c r="D14" s="75"/>
      <c r="I14" s="69"/>
      <c r="J14" s="63"/>
      <c r="K14" s="70"/>
    </row>
    <row r="15" spans="2:20" x14ac:dyDescent="0.3">
      <c r="B15" s="74"/>
      <c r="C15" s="64"/>
      <c r="D15" s="75"/>
      <c r="I15" s="69"/>
      <c r="J15" s="63"/>
      <c r="K15" s="70"/>
      <c r="R15" s="65" t="e" vm="1">
        <v>#VALUE!</v>
      </c>
    </row>
    <row r="16" spans="2:20" x14ac:dyDescent="0.3">
      <c r="B16" s="74"/>
      <c r="C16" s="64"/>
      <c r="D16" s="75"/>
      <c r="I16" s="69"/>
      <c r="J16" s="63"/>
      <c r="K16" s="70"/>
    </row>
    <row r="17" spans="2:19" x14ac:dyDescent="0.3">
      <c r="B17" s="74"/>
      <c r="C17" s="64"/>
      <c r="D17" s="75"/>
      <c r="I17" s="69"/>
      <c r="J17" s="63"/>
      <c r="K17" s="70"/>
    </row>
    <row r="18" spans="2:19" x14ac:dyDescent="0.3">
      <c r="B18" s="74"/>
      <c r="C18" s="64"/>
      <c r="D18" s="75"/>
      <c r="E18" s="16"/>
      <c r="F18" s="16"/>
      <c r="G18" s="16"/>
      <c r="I18" s="69"/>
      <c r="J18" s="63"/>
      <c r="K18" s="70"/>
      <c r="R18" t="s">
        <v>542</v>
      </c>
      <c r="S18">
        <v>4490000</v>
      </c>
    </row>
    <row r="19" spans="2:19" x14ac:dyDescent="0.3">
      <c r="B19" s="74"/>
      <c r="C19" s="64"/>
      <c r="D19" s="75"/>
      <c r="I19" s="69"/>
      <c r="J19" s="63"/>
      <c r="K19" s="70"/>
      <c r="R19" t="s">
        <v>540</v>
      </c>
      <c r="S19">
        <v>0</v>
      </c>
    </row>
    <row r="20" spans="2:19" x14ac:dyDescent="0.3">
      <c r="B20" s="74"/>
      <c r="C20" s="64"/>
      <c r="D20" s="75"/>
      <c r="I20" s="69"/>
      <c r="J20" s="63"/>
      <c r="K20" s="70"/>
      <c r="R20" t="s">
        <v>544</v>
      </c>
      <c r="S20">
        <v>21295000</v>
      </c>
    </row>
    <row r="21" spans="2:19" x14ac:dyDescent="0.3">
      <c r="B21" s="74"/>
      <c r="C21" s="64"/>
      <c r="D21" s="75"/>
      <c r="I21" s="69"/>
      <c r="J21" s="63"/>
      <c r="K21" s="70"/>
    </row>
    <row r="22" spans="2:19" x14ac:dyDescent="0.3">
      <c r="B22" s="74"/>
      <c r="C22" s="64"/>
      <c r="D22" s="75"/>
      <c r="I22" s="69"/>
      <c r="J22" s="63"/>
      <c r="K22" s="70"/>
    </row>
    <row r="23" spans="2:19" x14ac:dyDescent="0.3">
      <c r="B23" s="74"/>
      <c r="C23" s="64"/>
      <c r="D23" s="75"/>
      <c r="I23" s="69"/>
      <c r="J23" s="63"/>
      <c r="K23" s="70"/>
    </row>
    <row r="24" spans="2:19" x14ac:dyDescent="0.3">
      <c r="B24" s="74"/>
      <c r="C24" s="64"/>
      <c r="D24" s="75"/>
      <c r="I24" s="69"/>
      <c r="J24" s="63"/>
      <c r="K24" s="70"/>
    </row>
    <row r="25" spans="2:19" x14ac:dyDescent="0.3">
      <c r="B25" s="76"/>
      <c r="C25" s="77"/>
      <c r="D25" s="78"/>
      <c r="I25" s="71"/>
      <c r="J25" s="72"/>
      <c r="K25" s="73"/>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1ECB737B-7BDF-49F9-BFC9-A1EE92825942}">
  <ds:schemaRefs>
    <ds:schemaRef ds:uri="http://schemas.microsoft.com/DataMashup"/>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4.xml><?xml version="1.0" encoding="utf-8"?>
<ds:datastoreItem xmlns:ds="http://schemas.openxmlformats.org/officeDocument/2006/customXml" ds:itemID="{B0BF27F7-29FE-40C7-885D-152E9BA05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أداة تقييم ومعالجة المخاطر القائمة على الأصول - بنك الآفاق الرقمية</dc:title>
  <dc:subject>ISMS-FORM-06-1 - 32 خطراً</dc:subject>
  <dc:creator>بنك الآفاق الرقمية - إدارة أمن المعلومات</dc:creator>
  <cp:keywords>ISMS, Risk Assessment, Risk Treatment, ISO 27001 6.1.2, بنك الآفاق الرقمية</cp:keywords>
  <cp:lastModifiedBy>AMR KHALID AL-MOSABI</cp:lastModifiedBy>
  <cp:revision>1</cp:revision>
  <dcterms:created xsi:type="dcterms:W3CDTF">2026-04-02T08:00:00Z</dcterms:created>
  <dcterms:modified xsi:type="dcterms:W3CDTF">2026-09-13T08:05:16Z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